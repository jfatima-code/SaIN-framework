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ew folder\Attributes\all\feature\Attribute_Paper\Attribute_codes\outputs_final_last\"/>
    </mc:Choice>
  </mc:AlternateContent>
  <xr:revisionPtr revIDLastSave="0" documentId="13_ncr:1_{9EBEAA17-9CAE-4DEF-8FB5-F7C7F59FA5D6}" xr6:coauthVersionLast="47" xr6:coauthVersionMax="47" xr10:uidLastSave="{00000000-0000-0000-0000-000000000000}"/>
  <bookViews>
    <workbookView xWindow="10140" yWindow="0" windowWidth="10455" windowHeight="10905" firstSheet="1" activeTab="1" xr2:uid="{0D741E6F-79D1-437D-B511-4191EB54F8F1}"/>
  </bookViews>
  <sheets>
    <sheet name="kendall" sheetId="4" r:id="rId1"/>
    <sheet name="Distinct" sheetId="1" r:id="rId2"/>
    <sheet name="jaccard_diff_per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40" i="1" l="1"/>
  <c r="AE52" i="1"/>
  <c r="AG73" i="1"/>
  <c r="AO74" i="1"/>
  <c r="AI51" i="1"/>
  <c r="D260" i="3"/>
  <c r="J260" i="3"/>
  <c r="G260" i="3"/>
  <c r="G261" i="3"/>
  <c r="G262" i="3"/>
  <c r="G263" i="3"/>
  <c r="E263" i="3" l="1"/>
  <c r="C258" i="3"/>
  <c r="B339" i="4"/>
  <c r="X342" i="4"/>
  <c r="M155" i="4"/>
  <c r="AC155" i="4" s="1"/>
  <c r="N187" i="4"/>
  <c r="O187" i="4"/>
  <c r="P187" i="4"/>
  <c r="Q187" i="4"/>
  <c r="AA187" i="4" s="1"/>
  <c r="R187" i="4"/>
  <c r="AB187" i="4" s="1"/>
  <c r="S187" i="4"/>
  <c r="AC187" i="4" s="1"/>
  <c r="T187" i="4"/>
  <c r="U187" i="4"/>
  <c r="AE187" i="4" s="1"/>
  <c r="AC236" i="3"/>
  <c r="AB236" i="3"/>
  <c r="V236" i="3"/>
  <c r="Y163" i="3"/>
  <c r="I369" i="4"/>
  <c r="I367" i="4"/>
  <c r="C155" i="3"/>
  <c r="D155" i="3"/>
  <c r="E155" i="3"/>
  <c r="F155" i="3"/>
  <c r="P155" i="3" s="1"/>
  <c r="Y155" i="3" s="1"/>
  <c r="G155" i="3"/>
  <c r="Q155" i="3" s="1"/>
  <c r="Z155" i="3" s="1"/>
  <c r="H155" i="3"/>
  <c r="R155" i="3" s="1"/>
  <c r="AA155" i="3" s="1"/>
  <c r="I155" i="3"/>
  <c r="S155" i="3" s="1"/>
  <c r="AB155" i="3" s="1"/>
  <c r="J155" i="3"/>
  <c r="T155" i="3" s="1"/>
  <c r="AC155" i="3" s="1"/>
  <c r="B155" i="3"/>
  <c r="B260" i="3"/>
  <c r="C260" i="3"/>
  <c r="E260" i="3"/>
  <c r="F260" i="3"/>
  <c r="H260" i="3"/>
  <c r="I260" i="3"/>
  <c r="C261" i="3"/>
  <c r="D261" i="3"/>
  <c r="E261" i="3"/>
  <c r="F261" i="3"/>
  <c r="H261" i="3"/>
  <c r="I261" i="3"/>
  <c r="J261" i="3"/>
  <c r="C262" i="3"/>
  <c r="D262" i="3"/>
  <c r="E262" i="3"/>
  <c r="F262" i="3"/>
  <c r="H262" i="3"/>
  <c r="I262" i="3"/>
  <c r="J262" i="3"/>
  <c r="C263" i="3"/>
  <c r="D263" i="3"/>
  <c r="F263" i="3"/>
  <c r="H263" i="3"/>
  <c r="I263" i="3"/>
  <c r="J263" i="3"/>
  <c r="B261" i="3"/>
  <c r="B262" i="3"/>
  <c r="B263" i="3"/>
  <c r="B249" i="3"/>
  <c r="B255" i="3"/>
  <c r="B256" i="3"/>
  <c r="C256" i="3"/>
  <c r="D256" i="3"/>
  <c r="E256" i="3"/>
  <c r="F256" i="3"/>
  <c r="G256" i="3"/>
  <c r="H256" i="3"/>
  <c r="I256" i="3"/>
  <c r="J256" i="3"/>
  <c r="B257" i="3"/>
  <c r="C257" i="3"/>
  <c r="D257" i="3"/>
  <c r="E257" i="3"/>
  <c r="F257" i="3"/>
  <c r="G257" i="3"/>
  <c r="H257" i="3"/>
  <c r="I257" i="3"/>
  <c r="J257" i="3"/>
  <c r="B258" i="3"/>
  <c r="D258" i="3"/>
  <c r="E258" i="3"/>
  <c r="F258" i="3"/>
  <c r="G258" i="3"/>
  <c r="H258" i="3"/>
  <c r="I258" i="3"/>
  <c r="J258" i="3"/>
  <c r="C255" i="3"/>
  <c r="D255" i="3"/>
  <c r="E255" i="3"/>
  <c r="F255" i="3"/>
  <c r="G255" i="3"/>
  <c r="H255" i="3"/>
  <c r="I255" i="3"/>
  <c r="J255" i="3"/>
  <c r="D249" i="3"/>
  <c r="E249" i="3"/>
  <c r="F249" i="3"/>
  <c r="G249" i="3"/>
  <c r="H249" i="3"/>
  <c r="I249" i="3"/>
  <c r="J249" i="3"/>
  <c r="D250" i="3"/>
  <c r="E250" i="3"/>
  <c r="F250" i="3"/>
  <c r="G250" i="3"/>
  <c r="H250" i="3"/>
  <c r="I250" i="3"/>
  <c r="J250" i="3"/>
  <c r="D251" i="3"/>
  <c r="E251" i="3"/>
  <c r="F251" i="3"/>
  <c r="G251" i="3"/>
  <c r="H251" i="3"/>
  <c r="I251" i="3"/>
  <c r="J251" i="3"/>
  <c r="D252" i="3"/>
  <c r="E252" i="3"/>
  <c r="F252" i="3"/>
  <c r="G252" i="3"/>
  <c r="H252" i="3"/>
  <c r="I252" i="3"/>
  <c r="J252" i="3"/>
  <c r="C249" i="3"/>
  <c r="C250" i="3"/>
  <c r="C251" i="3"/>
  <c r="C252" i="3"/>
  <c r="B250" i="3"/>
  <c r="B251" i="3"/>
  <c r="B252" i="3"/>
  <c r="B362" i="4"/>
  <c r="C362" i="4"/>
  <c r="D362" i="4"/>
  <c r="E362" i="4"/>
  <c r="F362" i="4"/>
  <c r="G362" i="4"/>
  <c r="H362" i="4"/>
  <c r="I362" i="4"/>
  <c r="J362" i="4"/>
  <c r="B363" i="4"/>
  <c r="C363" i="4"/>
  <c r="D363" i="4"/>
  <c r="E363" i="4"/>
  <c r="F363" i="4"/>
  <c r="G363" i="4"/>
  <c r="H363" i="4"/>
  <c r="I363" i="4"/>
  <c r="J363" i="4"/>
  <c r="B364" i="4"/>
  <c r="C364" i="4"/>
  <c r="D364" i="4"/>
  <c r="E364" i="4"/>
  <c r="F364" i="4"/>
  <c r="G364" i="4"/>
  <c r="H364" i="4"/>
  <c r="I364" i="4"/>
  <c r="J364" i="4"/>
  <c r="B365" i="4"/>
  <c r="C365" i="4"/>
  <c r="D365" i="4"/>
  <c r="E365" i="4"/>
  <c r="F365" i="4"/>
  <c r="G365" i="4"/>
  <c r="H365" i="4"/>
  <c r="I365" i="4"/>
  <c r="J365" i="4"/>
  <c r="B366" i="4"/>
  <c r="C366" i="4"/>
  <c r="D366" i="4"/>
  <c r="E366" i="4"/>
  <c r="F366" i="4"/>
  <c r="G366" i="4"/>
  <c r="H366" i="4"/>
  <c r="I366" i="4"/>
  <c r="J366" i="4"/>
  <c r="B367" i="4"/>
  <c r="C367" i="4"/>
  <c r="D367" i="4"/>
  <c r="E367" i="4"/>
  <c r="F367" i="4"/>
  <c r="G367" i="4"/>
  <c r="H367" i="4"/>
  <c r="J367" i="4"/>
  <c r="B368" i="4"/>
  <c r="C368" i="4"/>
  <c r="D368" i="4"/>
  <c r="E368" i="4"/>
  <c r="F368" i="4"/>
  <c r="G368" i="4"/>
  <c r="H368" i="4"/>
  <c r="I368" i="4"/>
  <c r="J368" i="4"/>
  <c r="B369" i="4"/>
  <c r="C369" i="4"/>
  <c r="D369" i="4"/>
  <c r="E369" i="4"/>
  <c r="F369" i="4"/>
  <c r="G369" i="4"/>
  <c r="H369" i="4"/>
  <c r="J369" i="4"/>
  <c r="C361" i="4"/>
  <c r="D361" i="4"/>
  <c r="E361" i="4"/>
  <c r="F361" i="4"/>
  <c r="G361" i="4"/>
  <c r="H361" i="4"/>
  <c r="I361" i="4"/>
  <c r="J361" i="4"/>
  <c r="B361" i="4"/>
  <c r="I357" i="4"/>
  <c r="C350" i="4"/>
  <c r="D350" i="4"/>
  <c r="E350" i="4"/>
  <c r="F350" i="4"/>
  <c r="G350" i="4"/>
  <c r="H350" i="4"/>
  <c r="I350" i="4"/>
  <c r="J350" i="4"/>
  <c r="C351" i="4"/>
  <c r="D351" i="4"/>
  <c r="E351" i="4"/>
  <c r="F351" i="4"/>
  <c r="G351" i="4"/>
  <c r="H351" i="4"/>
  <c r="I351" i="4"/>
  <c r="J351" i="4"/>
  <c r="C352" i="4"/>
  <c r="D352" i="4"/>
  <c r="E352" i="4"/>
  <c r="F352" i="4"/>
  <c r="G352" i="4"/>
  <c r="H352" i="4"/>
  <c r="I352" i="4"/>
  <c r="J352" i="4"/>
  <c r="C353" i="4"/>
  <c r="D353" i="4"/>
  <c r="E353" i="4"/>
  <c r="F353" i="4"/>
  <c r="G353" i="4"/>
  <c r="H353" i="4"/>
  <c r="I353" i="4"/>
  <c r="J353" i="4"/>
  <c r="C354" i="4"/>
  <c r="D354" i="4"/>
  <c r="E354" i="4"/>
  <c r="F354" i="4"/>
  <c r="G354" i="4"/>
  <c r="H354" i="4"/>
  <c r="I354" i="4"/>
  <c r="J354" i="4"/>
  <c r="C355" i="4"/>
  <c r="D355" i="4"/>
  <c r="E355" i="4"/>
  <c r="F355" i="4"/>
  <c r="G355" i="4"/>
  <c r="H355" i="4"/>
  <c r="I355" i="4"/>
  <c r="J355" i="4"/>
  <c r="C356" i="4"/>
  <c r="D356" i="4"/>
  <c r="E356" i="4"/>
  <c r="F356" i="4"/>
  <c r="G356" i="4"/>
  <c r="H356" i="4"/>
  <c r="I356" i="4"/>
  <c r="J356" i="4"/>
  <c r="C357" i="4"/>
  <c r="D357" i="4"/>
  <c r="E357" i="4"/>
  <c r="F357" i="4"/>
  <c r="G357" i="4"/>
  <c r="H357" i="4"/>
  <c r="J357" i="4"/>
  <c r="C358" i="4"/>
  <c r="D358" i="4"/>
  <c r="E358" i="4"/>
  <c r="F358" i="4"/>
  <c r="G358" i="4"/>
  <c r="H358" i="4"/>
  <c r="I358" i="4"/>
  <c r="J358" i="4"/>
  <c r="B351" i="4"/>
  <c r="B352" i="4"/>
  <c r="B353" i="4"/>
  <c r="B354" i="4"/>
  <c r="B355" i="4"/>
  <c r="B356" i="4"/>
  <c r="B357" i="4"/>
  <c r="B358" i="4"/>
  <c r="B350" i="4"/>
  <c r="C339" i="4"/>
  <c r="D339" i="4"/>
  <c r="E339" i="4"/>
  <c r="F339" i="4"/>
  <c r="G339" i="4"/>
  <c r="H339" i="4"/>
  <c r="I339" i="4"/>
  <c r="J339" i="4"/>
  <c r="C340" i="4"/>
  <c r="D340" i="4"/>
  <c r="E340" i="4"/>
  <c r="F340" i="4"/>
  <c r="G340" i="4"/>
  <c r="H340" i="4"/>
  <c r="I340" i="4"/>
  <c r="J340" i="4"/>
  <c r="C341" i="4"/>
  <c r="D341" i="4"/>
  <c r="E341" i="4"/>
  <c r="F341" i="4"/>
  <c r="G341" i="4"/>
  <c r="H341" i="4"/>
  <c r="I341" i="4"/>
  <c r="J341" i="4"/>
  <c r="C342" i="4"/>
  <c r="D342" i="4"/>
  <c r="E342" i="4"/>
  <c r="F342" i="4"/>
  <c r="G342" i="4"/>
  <c r="H342" i="4"/>
  <c r="I342" i="4"/>
  <c r="J342" i="4"/>
  <c r="C343" i="4"/>
  <c r="D343" i="4"/>
  <c r="E343" i="4"/>
  <c r="F343" i="4"/>
  <c r="G343" i="4"/>
  <c r="H343" i="4"/>
  <c r="I343" i="4"/>
  <c r="J343" i="4"/>
  <c r="C344" i="4"/>
  <c r="D344" i="4"/>
  <c r="E344" i="4"/>
  <c r="F344" i="4"/>
  <c r="G344" i="4"/>
  <c r="H344" i="4"/>
  <c r="I344" i="4"/>
  <c r="J344" i="4"/>
  <c r="C345" i="4"/>
  <c r="D345" i="4"/>
  <c r="E345" i="4"/>
  <c r="F345" i="4"/>
  <c r="G345" i="4"/>
  <c r="H345" i="4"/>
  <c r="I345" i="4"/>
  <c r="J345" i="4"/>
  <c r="C346" i="4"/>
  <c r="D346" i="4"/>
  <c r="E346" i="4"/>
  <c r="F346" i="4"/>
  <c r="G346" i="4"/>
  <c r="H346" i="4"/>
  <c r="I346" i="4"/>
  <c r="J346" i="4"/>
  <c r="C347" i="4"/>
  <c r="D347" i="4"/>
  <c r="E347" i="4"/>
  <c r="F347" i="4"/>
  <c r="G347" i="4"/>
  <c r="H347" i="4"/>
  <c r="I347" i="4"/>
  <c r="J347" i="4"/>
  <c r="B340" i="4"/>
  <c r="B341" i="4"/>
  <c r="B342" i="4"/>
  <c r="B343" i="4"/>
  <c r="B344" i="4"/>
  <c r="B345" i="4"/>
  <c r="B346" i="4"/>
  <c r="B347" i="4"/>
  <c r="K238" i="4"/>
  <c r="K237" i="4"/>
  <c r="K43" i="4"/>
  <c r="K42" i="4"/>
  <c r="K260" i="4"/>
  <c r="K259" i="4"/>
  <c r="K119" i="4"/>
  <c r="K118" i="4"/>
  <c r="K216" i="4"/>
  <c r="K215" i="4"/>
  <c r="K281" i="4"/>
  <c r="K280" i="4"/>
  <c r="K150" i="4"/>
  <c r="K149" i="4"/>
  <c r="C336" i="4"/>
  <c r="C335" i="4"/>
  <c r="K175" i="3"/>
  <c r="K174" i="3"/>
  <c r="K31" i="3"/>
  <c r="K30" i="3"/>
  <c r="K191" i="3"/>
  <c r="K190" i="3"/>
  <c r="K86" i="3"/>
  <c r="K85" i="3"/>
  <c r="K160" i="3"/>
  <c r="K159" i="3"/>
  <c r="K207" i="3"/>
  <c r="K206" i="3"/>
  <c r="K110" i="3"/>
  <c r="K109" i="3"/>
  <c r="AF58" i="1"/>
  <c r="AA69" i="1"/>
  <c r="AB69" i="1"/>
  <c r="AC69" i="1"/>
  <c r="AD69" i="1"/>
  <c r="AE69" i="1"/>
  <c r="AF69" i="1"/>
  <c r="AG69" i="1"/>
  <c r="AH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AA70" i="1"/>
  <c r="AB70" i="1"/>
  <c r="AC70" i="1"/>
  <c r="AD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B70" i="1"/>
  <c r="AA71" i="1"/>
  <c r="AB71" i="1"/>
  <c r="AC71" i="1"/>
  <c r="AD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BA71" i="1"/>
  <c r="BB71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B72" i="1"/>
  <c r="AA73" i="1"/>
  <c r="AB73" i="1"/>
  <c r="AC73" i="1"/>
  <c r="AD73" i="1"/>
  <c r="AF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BA73" i="1"/>
  <c r="BB73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P74" i="1"/>
  <c r="AQ74" i="1"/>
  <c r="AR74" i="1"/>
  <c r="AS74" i="1"/>
  <c r="AT74" i="1"/>
  <c r="AU74" i="1"/>
  <c r="AV74" i="1"/>
  <c r="AW74" i="1"/>
  <c r="AX74" i="1"/>
  <c r="AY74" i="1"/>
  <c r="AZ74" i="1"/>
  <c r="BA74" i="1"/>
  <c r="BB74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BB75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V76" i="1"/>
  <c r="AW76" i="1"/>
  <c r="AX76" i="1"/>
  <c r="AY76" i="1"/>
  <c r="AZ76" i="1"/>
  <c r="BA76" i="1"/>
  <c r="BB76" i="1"/>
  <c r="Z70" i="1"/>
  <c r="Z71" i="1"/>
  <c r="Z72" i="1"/>
  <c r="Z73" i="1"/>
  <c r="Z74" i="1"/>
  <c r="Z75" i="1"/>
  <c r="Z76" i="1"/>
  <c r="Z69" i="1"/>
  <c r="BI45" i="1"/>
  <c r="BI46" i="1"/>
  <c r="BH45" i="1"/>
  <c r="BH46" i="1"/>
  <c r="X319" i="4"/>
  <c r="AE24" i="4"/>
  <c r="AD24" i="4"/>
  <c r="AC24" i="4"/>
  <c r="AB24" i="4"/>
  <c r="AA24" i="4"/>
  <c r="Z24" i="4"/>
  <c r="Y24" i="4"/>
  <c r="X24" i="4"/>
  <c r="AE35" i="4"/>
  <c r="AD35" i="4"/>
  <c r="AC35" i="4"/>
  <c r="AB35" i="4"/>
  <c r="AA35" i="4"/>
  <c r="Z35" i="4"/>
  <c r="Y35" i="4"/>
  <c r="X35" i="4"/>
  <c r="AE46" i="4"/>
  <c r="AD46" i="4"/>
  <c r="AC46" i="4"/>
  <c r="AB46" i="4"/>
  <c r="AA46" i="4"/>
  <c r="Z46" i="4"/>
  <c r="Y46" i="4"/>
  <c r="X46" i="4"/>
  <c r="AE57" i="4"/>
  <c r="AD57" i="4"/>
  <c r="AC57" i="4"/>
  <c r="AB57" i="4"/>
  <c r="AA57" i="4"/>
  <c r="Z57" i="4"/>
  <c r="Y57" i="4"/>
  <c r="X57" i="4"/>
  <c r="AE68" i="4"/>
  <c r="AD68" i="4"/>
  <c r="AC68" i="4"/>
  <c r="AB68" i="4"/>
  <c r="AA68" i="4"/>
  <c r="Z68" i="4"/>
  <c r="Y68" i="4"/>
  <c r="X68" i="4"/>
  <c r="AE79" i="4"/>
  <c r="AD79" i="4"/>
  <c r="AC79" i="4"/>
  <c r="AB79" i="4"/>
  <c r="AA79" i="4"/>
  <c r="Z79" i="4"/>
  <c r="Y79" i="4"/>
  <c r="X79" i="4"/>
  <c r="AE89" i="4"/>
  <c r="AD89" i="4"/>
  <c r="AC89" i="4"/>
  <c r="AB89" i="4"/>
  <c r="AA89" i="4"/>
  <c r="Z89" i="4"/>
  <c r="Y89" i="4"/>
  <c r="X89" i="4"/>
  <c r="AE100" i="4"/>
  <c r="AD100" i="4"/>
  <c r="AC100" i="4"/>
  <c r="AB100" i="4"/>
  <c r="AA100" i="4"/>
  <c r="Z100" i="4"/>
  <c r="Y100" i="4"/>
  <c r="X100" i="4"/>
  <c r="AE111" i="4"/>
  <c r="AD111" i="4"/>
  <c r="AC111" i="4"/>
  <c r="AB111" i="4"/>
  <c r="AA111" i="4"/>
  <c r="Z111" i="4"/>
  <c r="Y111" i="4"/>
  <c r="X111" i="4"/>
  <c r="AE122" i="4"/>
  <c r="AD122" i="4"/>
  <c r="AC122" i="4"/>
  <c r="AB122" i="4"/>
  <c r="AA122" i="4"/>
  <c r="Z122" i="4"/>
  <c r="Y122" i="4"/>
  <c r="X122" i="4"/>
  <c r="AE133" i="4"/>
  <c r="AD133" i="4"/>
  <c r="AC133" i="4"/>
  <c r="AB133" i="4"/>
  <c r="AA133" i="4"/>
  <c r="Z133" i="4"/>
  <c r="Y133" i="4"/>
  <c r="X133" i="4"/>
  <c r="AE144" i="4"/>
  <c r="AD144" i="4"/>
  <c r="AC144" i="4"/>
  <c r="AB144" i="4"/>
  <c r="AA144" i="4"/>
  <c r="Z144" i="4"/>
  <c r="Y144" i="4"/>
  <c r="X144" i="4"/>
  <c r="AE155" i="4"/>
  <c r="AD155" i="4"/>
  <c r="AB155" i="4"/>
  <c r="AA155" i="4"/>
  <c r="X155" i="4"/>
  <c r="AE166" i="4"/>
  <c r="AD166" i="4"/>
  <c r="AC166" i="4"/>
  <c r="AB166" i="4"/>
  <c r="AA166" i="4"/>
  <c r="Z166" i="4"/>
  <c r="Y166" i="4"/>
  <c r="X166" i="4"/>
  <c r="AE177" i="4"/>
  <c r="AD177" i="4"/>
  <c r="AC177" i="4"/>
  <c r="AB177" i="4"/>
  <c r="AA177" i="4"/>
  <c r="Z177" i="4"/>
  <c r="Y177" i="4"/>
  <c r="X177" i="4"/>
  <c r="AD187" i="4"/>
  <c r="Z187" i="4"/>
  <c r="Y187" i="4"/>
  <c r="X187" i="4"/>
  <c r="AE198" i="4"/>
  <c r="AD198" i="4"/>
  <c r="AC198" i="4"/>
  <c r="AB198" i="4"/>
  <c r="AA198" i="4"/>
  <c r="Z198" i="4"/>
  <c r="Y198" i="4"/>
  <c r="X198" i="4"/>
  <c r="AE209" i="4"/>
  <c r="AD209" i="4"/>
  <c r="AC209" i="4"/>
  <c r="AB209" i="4"/>
  <c r="AA209" i="4"/>
  <c r="Z209" i="4"/>
  <c r="Y209" i="4"/>
  <c r="X209" i="4"/>
  <c r="AE220" i="4"/>
  <c r="AD220" i="4"/>
  <c r="AC220" i="4"/>
  <c r="AB220" i="4"/>
  <c r="AA220" i="4"/>
  <c r="Z220" i="4"/>
  <c r="Y220" i="4"/>
  <c r="X220" i="4"/>
  <c r="AE231" i="4"/>
  <c r="AD231" i="4"/>
  <c r="AC231" i="4"/>
  <c r="AB231" i="4"/>
  <c r="AA231" i="4"/>
  <c r="Z231" i="4"/>
  <c r="Y231" i="4"/>
  <c r="X231" i="4"/>
  <c r="AE242" i="4"/>
  <c r="AD242" i="4"/>
  <c r="AC242" i="4"/>
  <c r="AB242" i="4"/>
  <c r="AA242" i="4"/>
  <c r="Z242" i="4"/>
  <c r="Y242" i="4"/>
  <c r="X242" i="4"/>
  <c r="AE253" i="4"/>
  <c r="AD253" i="4"/>
  <c r="AC253" i="4"/>
  <c r="AB253" i="4"/>
  <c r="AA253" i="4"/>
  <c r="Z253" i="4"/>
  <c r="Y253" i="4"/>
  <c r="X253" i="4"/>
  <c r="AE264" i="4"/>
  <c r="AD264" i="4"/>
  <c r="AC264" i="4"/>
  <c r="AB264" i="4"/>
  <c r="AA264" i="4"/>
  <c r="Z264" i="4"/>
  <c r="Y264" i="4"/>
  <c r="X264" i="4"/>
  <c r="AE275" i="4"/>
  <c r="AD275" i="4"/>
  <c r="AC275" i="4"/>
  <c r="AB275" i="4"/>
  <c r="AA275" i="4"/>
  <c r="Z275" i="4"/>
  <c r="Y275" i="4"/>
  <c r="X275" i="4"/>
  <c r="AE286" i="4"/>
  <c r="AD286" i="4"/>
  <c r="AC286" i="4"/>
  <c r="AB286" i="4"/>
  <c r="AA286" i="4"/>
  <c r="Z286" i="4"/>
  <c r="Y286" i="4"/>
  <c r="X286" i="4"/>
  <c r="AE297" i="4"/>
  <c r="AD297" i="4"/>
  <c r="AC297" i="4"/>
  <c r="AB297" i="4"/>
  <c r="AA297" i="4"/>
  <c r="Z297" i="4"/>
  <c r="Y297" i="4"/>
  <c r="X297" i="4"/>
  <c r="AE308" i="4"/>
  <c r="AD308" i="4"/>
  <c r="AC308" i="4"/>
  <c r="AB308" i="4"/>
  <c r="AA308" i="4"/>
  <c r="Z308" i="4"/>
  <c r="Y308" i="4"/>
  <c r="X308" i="4"/>
  <c r="AD319" i="4"/>
  <c r="AC319" i="4"/>
  <c r="AB319" i="4"/>
  <c r="AA319" i="4"/>
  <c r="Z319" i="4"/>
  <c r="Y319" i="4"/>
  <c r="AE319" i="4"/>
  <c r="M187" i="4"/>
  <c r="N89" i="4"/>
  <c r="O89" i="4"/>
  <c r="P89" i="4"/>
  <c r="Q89" i="4"/>
  <c r="R89" i="4"/>
  <c r="S89" i="4"/>
  <c r="T89" i="4"/>
  <c r="U89" i="4"/>
  <c r="M89" i="4"/>
  <c r="U319" i="4"/>
  <c r="T319" i="4"/>
  <c r="S319" i="4"/>
  <c r="R319" i="4"/>
  <c r="Q319" i="4"/>
  <c r="P319" i="4"/>
  <c r="O319" i="4"/>
  <c r="N319" i="4"/>
  <c r="M319" i="4"/>
  <c r="U308" i="4"/>
  <c r="T308" i="4"/>
  <c r="S308" i="4"/>
  <c r="R308" i="4"/>
  <c r="Q308" i="4"/>
  <c r="P308" i="4"/>
  <c r="O308" i="4"/>
  <c r="N308" i="4"/>
  <c r="M308" i="4"/>
  <c r="U297" i="4"/>
  <c r="T297" i="4"/>
  <c r="S297" i="4"/>
  <c r="R297" i="4"/>
  <c r="Q297" i="4"/>
  <c r="P297" i="4"/>
  <c r="O297" i="4"/>
  <c r="N297" i="4"/>
  <c r="M297" i="4"/>
  <c r="U286" i="4"/>
  <c r="T286" i="4"/>
  <c r="S286" i="4"/>
  <c r="R286" i="4"/>
  <c r="Q286" i="4"/>
  <c r="P286" i="4"/>
  <c r="O286" i="4"/>
  <c r="N286" i="4"/>
  <c r="M286" i="4"/>
  <c r="U275" i="4"/>
  <c r="T275" i="4"/>
  <c r="S275" i="4"/>
  <c r="R275" i="4"/>
  <c r="Q275" i="4"/>
  <c r="P275" i="4"/>
  <c r="O275" i="4"/>
  <c r="N275" i="4"/>
  <c r="M275" i="4"/>
  <c r="U264" i="4"/>
  <c r="T264" i="4"/>
  <c r="S264" i="4"/>
  <c r="R264" i="4"/>
  <c r="Q264" i="4"/>
  <c r="P264" i="4"/>
  <c r="O264" i="4"/>
  <c r="N264" i="4"/>
  <c r="M264" i="4"/>
  <c r="U253" i="4"/>
  <c r="T253" i="4"/>
  <c r="S253" i="4"/>
  <c r="R253" i="4"/>
  <c r="Q253" i="4"/>
  <c r="P253" i="4"/>
  <c r="O253" i="4"/>
  <c r="N253" i="4"/>
  <c r="M253" i="4"/>
  <c r="U242" i="4"/>
  <c r="T242" i="4"/>
  <c r="S242" i="4"/>
  <c r="R242" i="4"/>
  <c r="Q242" i="4"/>
  <c r="P242" i="4"/>
  <c r="O242" i="4"/>
  <c r="N242" i="4"/>
  <c r="M242" i="4"/>
  <c r="U231" i="4"/>
  <c r="T231" i="4"/>
  <c r="S231" i="4"/>
  <c r="R231" i="4"/>
  <c r="Q231" i="4"/>
  <c r="P231" i="4"/>
  <c r="O231" i="4"/>
  <c r="N231" i="4"/>
  <c r="M231" i="4"/>
  <c r="U220" i="4"/>
  <c r="T220" i="4"/>
  <c r="S220" i="4"/>
  <c r="R220" i="4"/>
  <c r="Q220" i="4"/>
  <c r="P220" i="4"/>
  <c r="O220" i="4"/>
  <c r="N220" i="4"/>
  <c r="M220" i="4"/>
  <c r="U209" i="4"/>
  <c r="T209" i="4"/>
  <c r="S209" i="4"/>
  <c r="R209" i="4"/>
  <c r="Q209" i="4"/>
  <c r="P209" i="4"/>
  <c r="O209" i="4"/>
  <c r="N209" i="4"/>
  <c r="M209" i="4"/>
  <c r="U198" i="4"/>
  <c r="T198" i="4"/>
  <c r="S198" i="4"/>
  <c r="R198" i="4"/>
  <c r="Q198" i="4"/>
  <c r="P198" i="4"/>
  <c r="O198" i="4"/>
  <c r="N198" i="4"/>
  <c r="M198" i="4"/>
  <c r="U177" i="4"/>
  <c r="T177" i="4"/>
  <c r="S177" i="4"/>
  <c r="R177" i="4"/>
  <c r="Q177" i="4"/>
  <c r="P177" i="4"/>
  <c r="O177" i="4"/>
  <c r="N177" i="4"/>
  <c r="M177" i="4"/>
  <c r="U166" i="4"/>
  <c r="T166" i="4"/>
  <c r="S166" i="4"/>
  <c r="R166" i="4"/>
  <c r="Q166" i="4"/>
  <c r="P166" i="4"/>
  <c r="O166" i="4"/>
  <c r="N166" i="4"/>
  <c r="M166" i="4"/>
  <c r="U155" i="4"/>
  <c r="T155" i="4"/>
  <c r="S155" i="4"/>
  <c r="R155" i="4"/>
  <c r="Q155" i="4"/>
  <c r="P155" i="4"/>
  <c r="O155" i="4"/>
  <c r="N155" i="4"/>
  <c r="U144" i="4"/>
  <c r="T144" i="4"/>
  <c r="S144" i="4"/>
  <c r="R144" i="4"/>
  <c r="Q144" i="4"/>
  <c r="P144" i="4"/>
  <c r="O144" i="4"/>
  <c r="N144" i="4"/>
  <c r="M144" i="4"/>
  <c r="U133" i="4"/>
  <c r="T133" i="4"/>
  <c r="S133" i="4"/>
  <c r="R133" i="4"/>
  <c r="Q133" i="4"/>
  <c r="P133" i="4"/>
  <c r="O133" i="4"/>
  <c r="N133" i="4"/>
  <c r="M133" i="4"/>
  <c r="U122" i="4"/>
  <c r="T122" i="4"/>
  <c r="S122" i="4"/>
  <c r="R122" i="4"/>
  <c r="Q122" i="4"/>
  <c r="P122" i="4"/>
  <c r="O122" i="4"/>
  <c r="N122" i="4"/>
  <c r="M122" i="4"/>
  <c r="U111" i="4"/>
  <c r="T111" i="4"/>
  <c r="S111" i="4"/>
  <c r="R111" i="4"/>
  <c r="Q111" i="4"/>
  <c r="P111" i="4"/>
  <c r="O111" i="4"/>
  <c r="N111" i="4"/>
  <c r="M111" i="4"/>
  <c r="U100" i="4"/>
  <c r="T100" i="4"/>
  <c r="S100" i="4"/>
  <c r="R100" i="4"/>
  <c r="Q100" i="4"/>
  <c r="P100" i="4"/>
  <c r="O100" i="4"/>
  <c r="N100" i="4"/>
  <c r="M100" i="4"/>
  <c r="U79" i="4"/>
  <c r="T79" i="4"/>
  <c r="S79" i="4"/>
  <c r="R79" i="4"/>
  <c r="Q79" i="4"/>
  <c r="P79" i="4"/>
  <c r="O79" i="4"/>
  <c r="N79" i="4"/>
  <c r="M79" i="4"/>
  <c r="U68" i="4"/>
  <c r="T68" i="4"/>
  <c r="S68" i="4"/>
  <c r="R68" i="4"/>
  <c r="Q68" i="4"/>
  <c r="P68" i="4"/>
  <c r="O68" i="4"/>
  <c r="N68" i="4"/>
  <c r="M68" i="4"/>
  <c r="U57" i="4"/>
  <c r="T57" i="4"/>
  <c r="S57" i="4"/>
  <c r="R57" i="4"/>
  <c r="Q57" i="4"/>
  <c r="P57" i="4"/>
  <c r="O57" i="4"/>
  <c r="N57" i="4"/>
  <c r="M57" i="4"/>
  <c r="U46" i="4"/>
  <c r="T46" i="4"/>
  <c r="S46" i="4"/>
  <c r="R46" i="4"/>
  <c r="Q46" i="4"/>
  <c r="P46" i="4"/>
  <c r="O46" i="4"/>
  <c r="N46" i="4"/>
  <c r="M46" i="4"/>
  <c r="U35" i="4"/>
  <c r="T35" i="4"/>
  <c r="S35" i="4"/>
  <c r="R35" i="4"/>
  <c r="Q35" i="4"/>
  <c r="P35" i="4"/>
  <c r="O35" i="4"/>
  <c r="N35" i="4"/>
  <c r="M35" i="4"/>
  <c r="N24" i="4"/>
  <c r="O24" i="4"/>
  <c r="P24" i="4"/>
  <c r="Q24" i="4"/>
  <c r="R24" i="4"/>
  <c r="S24" i="4"/>
  <c r="T24" i="4"/>
  <c r="U24" i="4"/>
  <c r="M24" i="4"/>
  <c r="O13" i="4"/>
  <c r="P13" i="4"/>
  <c r="Q13" i="4"/>
  <c r="R13" i="4"/>
  <c r="S13" i="4"/>
  <c r="T13" i="4"/>
  <c r="U13" i="4"/>
  <c r="N13" i="4"/>
  <c r="AC234" i="3"/>
  <c r="AB234" i="3"/>
  <c r="AA234" i="3"/>
  <c r="Z234" i="3"/>
  <c r="Y234" i="3"/>
  <c r="X234" i="3"/>
  <c r="W234" i="3"/>
  <c r="V234" i="3"/>
  <c r="AC226" i="3"/>
  <c r="AB226" i="3"/>
  <c r="AA226" i="3"/>
  <c r="Z226" i="3"/>
  <c r="Y226" i="3"/>
  <c r="X226" i="3"/>
  <c r="W226" i="3"/>
  <c r="V226" i="3"/>
  <c r="AC218" i="3"/>
  <c r="AB218" i="3"/>
  <c r="AA218" i="3"/>
  <c r="Z218" i="3"/>
  <c r="Y218" i="3"/>
  <c r="X218" i="3"/>
  <c r="W218" i="3"/>
  <c r="V218" i="3"/>
  <c r="AC210" i="3"/>
  <c r="AB210" i="3"/>
  <c r="AA210" i="3"/>
  <c r="Z210" i="3"/>
  <c r="Y210" i="3"/>
  <c r="X210" i="3"/>
  <c r="W210" i="3"/>
  <c r="V210" i="3"/>
  <c r="AC202" i="3"/>
  <c r="AB202" i="3"/>
  <c r="AA202" i="3"/>
  <c r="Z202" i="3"/>
  <c r="Y202" i="3"/>
  <c r="X202" i="3"/>
  <c r="W202" i="3"/>
  <c r="V202" i="3"/>
  <c r="AC194" i="3"/>
  <c r="AB194" i="3"/>
  <c r="AA194" i="3"/>
  <c r="Z194" i="3"/>
  <c r="Y194" i="3"/>
  <c r="X194" i="3"/>
  <c r="W194" i="3"/>
  <c r="V194" i="3"/>
  <c r="AC186" i="3"/>
  <c r="AB186" i="3"/>
  <c r="AA186" i="3"/>
  <c r="Z186" i="3"/>
  <c r="Y186" i="3"/>
  <c r="X186" i="3"/>
  <c r="W186" i="3"/>
  <c r="V186" i="3"/>
  <c r="AC178" i="3"/>
  <c r="AB178" i="3"/>
  <c r="AA178" i="3"/>
  <c r="Z178" i="3"/>
  <c r="Y178" i="3"/>
  <c r="X178" i="3"/>
  <c r="W178" i="3"/>
  <c r="V178" i="3"/>
  <c r="AC171" i="3"/>
  <c r="AB171" i="3"/>
  <c r="AA171" i="3"/>
  <c r="Z171" i="3"/>
  <c r="Y171" i="3"/>
  <c r="X171" i="3"/>
  <c r="W171" i="3"/>
  <c r="V171" i="3"/>
  <c r="AC163" i="3"/>
  <c r="AB163" i="3"/>
  <c r="AA163" i="3"/>
  <c r="Z163" i="3"/>
  <c r="W163" i="3"/>
  <c r="V163" i="3"/>
  <c r="AC146" i="3"/>
  <c r="AB146" i="3"/>
  <c r="AA146" i="3"/>
  <c r="Y146" i="3"/>
  <c r="X146" i="3"/>
  <c r="W146" i="3"/>
  <c r="V146" i="3"/>
  <c r="AC138" i="3"/>
  <c r="AB138" i="3"/>
  <c r="AA138" i="3"/>
  <c r="Z138" i="3"/>
  <c r="Y138" i="3"/>
  <c r="X138" i="3"/>
  <c r="W138" i="3"/>
  <c r="V138" i="3"/>
  <c r="AC130" i="3"/>
  <c r="AB130" i="3"/>
  <c r="AA130" i="3"/>
  <c r="Z130" i="3"/>
  <c r="Y130" i="3"/>
  <c r="X130" i="3"/>
  <c r="W130" i="3"/>
  <c r="V130" i="3"/>
  <c r="AC122" i="3"/>
  <c r="AB122" i="3"/>
  <c r="AA122" i="3"/>
  <c r="Z122" i="3"/>
  <c r="Y122" i="3"/>
  <c r="X122" i="3"/>
  <c r="W122" i="3"/>
  <c r="V122" i="3"/>
  <c r="AC114" i="3"/>
  <c r="AB114" i="3"/>
  <c r="AA114" i="3"/>
  <c r="Z114" i="3"/>
  <c r="Y114" i="3"/>
  <c r="X114" i="3"/>
  <c r="W114" i="3"/>
  <c r="V114" i="3"/>
  <c r="AC106" i="3"/>
  <c r="AB106" i="3"/>
  <c r="AA106" i="3"/>
  <c r="Z106" i="3"/>
  <c r="Y106" i="3"/>
  <c r="X106" i="3"/>
  <c r="W106" i="3"/>
  <c r="V106" i="3"/>
  <c r="AC98" i="3"/>
  <c r="AB98" i="3"/>
  <c r="AA98" i="3"/>
  <c r="Z98" i="3"/>
  <c r="Y98" i="3"/>
  <c r="X98" i="3"/>
  <c r="W98" i="3"/>
  <c r="V98" i="3"/>
  <c r="AC90" i="3"/>
  <c r="AB90" i="3"/>
  <c r="AA90" i="3"/>
  <c r="Z90" i="3"/>
  <c r="Y90" i="3"/>
  <c r="X90" i="3"/>
  <c r="W90" i="3"/>
  <c r="V90" i="3"/>
  <c r="AC82" i="3"/>
  <c r="AB82" i="3"/>
  <c r="AA82" i="3"/>
  <c r="Z82" i="3"/>
  <c r="Y82" i="3"/>
  <c r="X82" i="3"/>
  <c r="W82" i="3"/>
  <c r="V82" i="3"/>
  <c r="AC74" i="3"/>
  <c r="AB74" i="3"/>
  <c r="AA74" i="3"/>
  <c r="Z74" i="3"/>
  <c r="Y74" i="3"/>
  <c r="X74" i="3"/>
  <c r="W74" i="3"/>
  <c r="V74" i="3"/>
  <c r="AC66" i="3"/>
  <c r="AB66" i="3"/>
  <c r="AA66" i="3"/>
  <c r="Z66" i="3"/>
  <c r="Y66" i="3"/>
  <c r="X66" i="3"/>
  <c r="W66" i="3"/>
  <c r="V66" i="3"/>
  <c r="AC58" i="3"/>
  <c r="AB58" i="3"/>
  <c r="AA58" i="3"/>
  <c r="Z58" i="3"/>
  <c r="Y58" i="3"/>
  <c r="X58" i="3"/>
  <c r="W58" i="3"/>
  <c r="V58" i="3"/>
  <c r="C50" i="3"/>
  <c r="D50" i="3"/>
  <c r="E50" i="3"/>
  <c r="O50" i="3" s="1"/>
  <c r="X50" i="3" s="1"/>
  <c r="X236" i="3" s="1"/>
  <c r="F50" i="3"/>
  <c r="P50" i="3" s="1"/>
  <c r="Y50" i="3" s="1"/>
  <c r="Y236" i="3" s="1"/>
  <c r="G50" i="3"/>
  <c r="Q50" i="3" s="1"/>
  <c r="Z50" i="3" s="1"/>
  <c r="Z236" i="3" s="1"/>
  <c r="H50" i="3"/>
  <c r="R50" i="3" s="1"/>
  <c r="AA50" i="3" s="1"/>
  <c r="AA236" i="3" s="1"/>
  <c r="I50" i="3"/>
  <c r="J50" i="3"/>
  <c r="AB50" i="3"/>
  <c r="V50" i="3"/>
  <c r="AC42" i="3"/>
  <c r="AB42" i="3"/>
  <c r="AA42" i="3"/>
  <c r="Z42" i="3"/>
  <c r="Y42" i="3"/>
  <c r="X42" i="3"/>
  <c r="W42" i="3"/>
  <c r="V42" i="3"/>
  <c r="AC34" i="3"/>
  <c r="AB34" i="3"/>
  <c r="AA34" i="3"/>
  <c r="Z34" i="3"/>
  <c r="Y34" i="3"/>
  <c r="X34" i="3"/>
  <c r="W34" i="3"/>
  <c r="V34" i="3"/>
  <c r="AC26" i="3"/>
  <c r="AB26" i="3"/>
  <c r="AA26" i="3"/>
  <c r="Z26" i="3"/>
  <c r="Y26" i="3"/>
  <c r="X26" i="3"/>
  <c r="W26" i="3"/>
  <c r="V26" i="3"/>
  <c r="AC18" i="3"/>
  <c r="AB18" i="3"/>
  <c r="AA18" i="3"/>
  <c r="Z18" i="3"/>
  <c r="Y18" i="3"/>
  <c r="X18" i="3"/>
  <c r="W18" i="3"/>
  <c r="V18" i="3"/>
  <c r="AB10" i="3"/>
  <c r="AC10" i="3"/>
  <c r="W10" i="3"/>
  <c r="X10" i="3"/>
  <c r="Y10" i="3"/>
  <c r="Z10" i="3"/>
  <c r="AA10" i="3"/>
  <c r="V10" i="3"/>
  <c r="C234" i="3"/>
  <c r="D234" i="3"/>
  <c r="E234" i="3"/>
  <c r="F234" i="3"/>
  <c r="G234" i="3"/>
  <c r="Q234" i="3" s="1"/>
  <c r="H234" i="3"/>
  <c r="R234" i="3" s="1"/>
  <c r="I234" i="3"/>
  <c r="S234" i="3" s="1"/>
  <c r="J234" i="3"/>
  <c r="T234" i="3" s="1"/>
  <c r="B234" i="3"/>
  <c r="M234" i="3" s="1"/>
  <c r="C226" i="3"/>
  <c r="D226" i="3"/>
  <c r="E226" i="3"/>
  <c r="F226" i="3"/>
  <c r="G226" i="3"/>
  <c r="H226" i="3"/>
  <c r="I226" i="3"/>
  <c r="J226" i="3"/>
  <c r="B226" i="3"/>
  <c r="Q226" i="3" s="1"/>
  <c r="C218" i="3"/>
  <c r="D218" i="3"/>
  <c r="E218" i="3"/>
  <c r="F218" i="3"/>
  <c r="G218" i="3"/>
  <c r="H218" i="3"/>
  <c r="I218" i="3"/>
  <c r="J218" i="3"/>
  <c r="T218" i="3" s="1"/>
  <c r="B218" i="3"/>
  <c r="C210" i="3"/>
  <c r="D210" i="3"/>
  <c r="E210" i="3"/>
  <c r="F210" i="3"/>
  <c r="G210" i="3"/>
  <c r="H210" i="3"/>
  <c r="I210" i="3"/>
  <c r="J210" i="3"/>
  <c r="T210" i="3" s="1"/>
  <c r="B210" i="3"/>
  <c r="C202" i="3"/>
  <c r="D202" i="3"/>
  <c r="E202" i="3"/>
  <c r="F202" i="3"/>
  <c r="P202" i="3" s="1"/>
  <c r="G202" i="3"/>
  <c r="Q202" i="3" s="1"/>
  <c r="H202" i="3"/>
  <c r="R202" i="3" s="1"/>
  <c r="I202" i="3"/>
  <c r="S202" i="3" s="1"/>
  <c r="J202" i="3"/>
  <c r="T202" i="3" s="1"/>
  <c r="B202" i="3"/>
  <c r="C194" i="3"/>
  <c r="D194" i="3"/>
  <c r="E194" i="3"/>
  <c r="F194" i="3"/>
  <c r="G194" i="3"/>
  <c r="Q194" i="3" s="1"/>
  <c r="H194" i="3"/>
  <c r="I194" i="3"/>
  <c r="J194" i="3"/>
  <c r="T194" i="3" s="1"/>
  <c r="B194" i="3"/>
  <c r="C186" i="3"/>
  <c r="D186" i="3"/>
  <c r="E186" i="3"/>
  <c r="F186" i="3"/>
  <c r="G186" i="3"/>
  <c r="H186" i="3"/>
  <c r="I186" i="3"/>
  <c r="J186" i="3"/>
  <c r="B186" i="3"/>
  <c r="C178" i="3"/>
  <c r="D178" i="3"/>
  <c r="E178" i="3"/>
  <c r="F178" i="3"/>
  <c r="G178" i="3"/>
  <c r="H178" i="3"/>
  <c r="I178" i="3"/>
  <c r="S178" i="3" s="1"/>
  <c r="J178" i="3"/>
  <c r="T178" i="3" s="1"/>
  <c r="B178" i="3"/>
  <c r="C171" i="3"/>
  <c r="M171" i="3" s="1"/>
  <c r="D171" i="3"/>
  <c r="E171" i="3"/>
  <c r="F171" i="3"/>
  <c r="G171" i="3"/>
  <c r="H171" i="3"/>
  <c r="I171" i="3"/>
  <c r="J171" i="3"/>
  <c r="B171" i="3"/>
  <c r="C163" i="3"/>
  <c r="D163" i="3"/>
  <c r="E163" i="3"/>
  <c r="F163" i="3"/>
  <c r="G163" i="3"/>
  <c r="H163" i="3"/>
  <c r="R163" i="3" s="1"/>
  <c r="I163" i="3"/>
  <c r="J163" i="3"/>
  <c r="B163" i="3"/>
  <c r="C146" i="3"/>
  <c r="D146" i="3"/>
  <c r="E146" i="3"/>
  <c r="F146" i="3"/>
  <c r="G146" i="3"/>
  <c r="H146" i="3"/>
  <c r="I146" i="3"/>
  <c r="J146" i="3"/>
  <c r="T146" i="3" s="1"/>
  <c r="B146" i="3"/>
  <c r="C138" i="3"/>
  <c r="D138" i="3"/>
  <c r="E138" i="3"/>
  <c r="F138" i="3"/>
  <c r="G138" i="3"/>
  <c r="H138" i="3"/>
  <c r="I138" i="3"/>
  <c r="J138" i="3"/>
  <c r="T138" i="3" s="1"/>
  <c r="B138" i="3"/>
  <c r="C130" i="3"/>
  <c r="D130" i="3"/>
  <c r="E130" i="3"/>
  <c r="F130" i="3"/>
  <c r="G130" i="3"/>
  <c r="H130" i="3"/>
  <c r="I130" i="3"/>
  <c r="J130" i="3"/>
  <c r="T130" i="3" s="1"/>
  <c r="B130" i="3"/>
  <c r="C122" i="3"/>
  <c r="D122" i="3"/>
  <c r="E122" i="3"/>
  <c r="O122" i="3" s="1"/>
  <c r="F122" i="3"/>
  <c r="P122" i="3" s="1"/>
  <c r="G122" i="3"/>
  <c r="Q122" i="3" s="1"/>
  <c r="H122" i="3"/>
  <c r="R122" i="3" s="1"/>
  <c r="I122" i="3"/>
  <c r="S122" i="3" s="1"/>
  <c r="J122" i="3"/>
  <c r="T122" i="3" s="1"/>
  <c r="B122" i="3"/>
  <c r="C114" i="3"/>
  <c r="D114" i="3"/>
  <c r="E114" i="3"/>
  <c r="F114" i="3"/>
  <c r="G114" i="3"/>
  <c r="H114" i="3"/>
  <c r="I114" i="3"/>
  <c r="J114" i="3"/>
  <c r="T114" i="3" s="1"/>
  <c r="B114" i="3"/>
  <c r="C106" i="3"/>
  <c r="D106" i="3"/>
  <c r="E106" i="3"/>
  <c r="F106" i="3"/>
  <c r="G106" i="3"/>
  <c r="H106" i="3"/>
  <c r="I106" i="3"/>
  <c r="J106" i="3"/>
  <c r="T106" i="3" s="1"/>
  <c r="B106" i="3"/>
  <c r="C98" i="3"/>
  <c r="D98" i="3"/>
  <c r="E98" i="3"/>
  <c r="F98" i="3"/>
  <c r="G98" i="3"/>
  <c r="H98" i="3"/>
  <c r="I98" i="3"/>
  <c r="J98" i="3"/>
  <c r="B98" i="3"/>
  <c r="C90" i="3"/>
  <c r="D90" i="3"/>
  <c r="E90" i="3"/>
  <c r="F90" i="3"/>
  <c r="P90" i="3" s="1"/>
  <c r="G90" i="3"/>
  <c r="Q90" i="3" s="1"/>
  <c r="H90" i="3"/>
  <c r="I90" i="3"/>
  <c r="J90" i="3"/>
  <c r="B90" i="3"/>
  <c r="C82" i="3"/>
  <c r="D82" i="3"/>
  <c r="E82" i="3"/>
  <c r="F82" i="3"/>
  <c r="G82" i="3"/>
  <c r="H82" i="3"/>
  <c r="I82" i="3"/>
  <c r="J82" i="3"/>
  <c r="T82" i="3" s="1"/>
  <c r="B82" i="3"/>
  <c r="C74" i="3"/>
  <c r="D74" i="3"/>
  <c r="E74" i="3"/>
  <c r="F74" i="3"/>
  <c r="G74" i="3"/>
  <c r="H74" i="3"/>
  <c r="I74" i="3"/>
  <c r="J74" i="3"/>
  <c r="T74" i="3" s="1"/>
  <c r="B74" i="3"/>
  <c r="C66" i="3"/>
  <c r="D66" i="3"/>
  <c r="E66" i="3"/>
  <c r="F66" i="3"/>
  <c r="G66" i="3"/>
  <c r="H66" i="3"/>
  <c r="I66" i="3"/>
  <c r="S66" i="3" s="1"/>
  <c r="J66" i="3"/>
  <c r="T66" i="3" s="1"/>
  <c r="B66" i="3"/>
  <c r="C58" i="3"/>
  <c r="D58" i="3"/>
  <c r="E58" i="3"/>
  <c r="F58" i="3"/>
  <c r="P58" i="3" s="1"/>
  <c r="G58" i="3"/>
  <c r="Q58" i="3" s="1"/>
  <c r="H58" i="3"/>
  <c r="R58" i="3" s="1"/>
  <c r="I58" i="3"/>
  <c r="S58" i="3" s="1"/>
  <c r="J58" i="3"/>
  <c r="T58" i="3" s="1"/>
  <c r="B58" i="3"/>
  <c r="B50" i="3"/>
  <c r="C42" i="3"/>
  <c r="D42" i="3"/>
  <c r="E42" i="3"/>
  <c r="F42" i="3"/>
  <c r="G42" i="3"/>
  <c r="H42" i="3"/>
  <c r="I42" i="3"/>
  <c r="J42" i="3"/>
  <c r="T42" i="3" s="1"/>
  <c r="B42" i="3"/>
  <c r="C34" i="3"/>
  <c r="D34" i="3"/>
  <c r="E34" i="3"/>
  <c r="F34" i="3"/>
  <c r="G34" i="3"/>
  <c r="H34" i="3"/>
  <c r="I34" i="3"/>
  <c r="J34" i="3"/>
  <c r="T34" i="3" s="1"/>
  <c r="B34" i="3"/>
  <c r="C26" i="3"/>
  <c r="D26" i="3"/>
  <c r="E26" i="3"/>
  <c r="F26" i="3"/>
  <c r="G26" i="3"/>
  <c r="H26" i="3"/>
  <c r="I26" i="3"/>
  <c r="J26" i="3"/>
  <c r="T26" i="3" s="1"/>
  <c r="B26" i="3"/>
  <c r="C18" i="3"/>
  <c r="D18" i="3"/>
  <c r="E18" i="3"/>
  <c r="F18" i="3"/>
  <c r="G18" i="3"/>
  <c r="H18" i="3"/>
  <c r="R18" i="3" s="1"/>
  <c r="I18" i="3"/>
  <c r="S18" i="3" s="1"/>
  <c r="J18" i="3"/>
  <c r="T18" i="3" s="1"/>
  <c r="B18" i="3"/>
  <c r="C10" i="3"/>
  <c r="D10" i="3"/>
  <c r="N10" i="3" s="1"/>
  <c r="E10" i="3"/>
  <c r="O10" i="3" s="1"/>
  <c r="F10" i="3"/>
  <c r="G10" i="3"/>
  <c r="H10" i="3"/>
  <c r="R10" i="3" s="1"/>
  <c r="I10" i="3"/>
  <c r="S10" i="3" s="1"/>
  <c r="J10" i="3"/>
  <c r="B10" i="3"/>
  <c r="C333" i="4"/>
  <c r="D333" i="4"/>
  <c r="E333" i="4"/>
  <c r="F333" i="4"/>
  <c r="G333" i="4"/>
  <c r="H333" i="4"/>
  <c r="I333" i="4"/>
  <c r="J333" i="4"/>
  <c r="K333" i="4"/>
  <c r="C332" i="4"/>
  <c r="D332" i="4"/>
  <c r="E332" i="4"/>
  <c r="F332" i="4"/>
  <c r="G332" i="4"/>
  <c r="H332" i="4"/>
  <c r="I332" i="4"/>
  <c r="J332" i="4"/>
  <c r="B333" i="4"/>
  <c r="B332" i="4"/>
  <c r="C245" i="3"/>
  <c r="D245" i="3"/>
  <c r="E245" i="3"/>
  <c r="F245" i="3"/>
  <c r="G245" i="3"/>
  <c r="H245" i="3"/>
  <c r="I245" i="3"/>
  <c r="J245" i="3"/>
  <c r="C244" i="3"/>
  <c r="D244" i="3"/>
  <c r="E244" i="3"/>
  <c r="F244" i="3"/>
  <c r="G244" i="3"/>
  <c r="H244" i="3"/>
  <c r="I244" i="3"/>
  <c r="J244" i="3"/>
  <c r="B245" i="3"/>
  <c r="B244" i="3"/>
  <c r="S249" i="3"/>
  <c r="T249" i="3"/>
  <c r="M249" i="3"/>
  <c r="AL332" i="4"/>
  <c r="AL335" i="4" s="1"/>
  <c r="AN332" i="4"/>
  <c r="AN335" i="4" s="1"/>
  <c r="AO332" i="4"/>
  <c r="AO335" i="4" s="1"/>
  <c r="AI4" i="4"/>
  <c r="AJ4" i="4"/>
  <c r="AK4" i="4"/>
  <c r="AL4" i="4"/>
  <c r="AM4" i="4"/>
  <c r="AN4" i="4"/>
  <c r="AO4" i="4"/>
  <c r="AP4" i="4"/>
  <c r="AI5" i="4"/>
  <c r="AJ5" i="4"/>
  <c r="AK5" i="4"/>
  <c r="AL5" i="4"/>
  <c r="AM5" i="4"/>
  <c r="AN5" i="4"/>
  <c r="AO5" i="4"/>
  <c r="AP5" i="4"/>
  <c r="AI6" i="4"/>
  <c r="AJ6" i="4"/>
  <c r="AK6" i="4"/>
  <c r="AL6" i="4"/>
  <c r="AM6" i="4"/>
  <c r="AN6" i="4"/>
  <c r="AO6" i="4"/>
  <c r="AP6" i="4"/>
  <c r="AI7" i="4"/>
  <c r="AJ7" i="4"/>
  <c r="AK7" i="4"/>
  <c r="AL7" i="4"/>
  <c r="AM7" i="4"/>
  <c r="AN7" i="4"/>
  <c r="AO7" i="4"/>
  <c r="AP7" i="4"/>
  <c r="AI8" i="4"/>
  <c r="AJ8" i="4"/>
  <c r="AK8" i="4"/>
  <c r="AL8" i="4"/>
  <c r="AM8" i="4"/>
  <c r="AN8" i="4"/>
  <c r="AO8" i="4"/>
  <c r="AP8" i="4"/>
  <c r="AI9" i="4"/>
  <c r="AJ9" i="4"/>
  <c r="AK9" i="4"/>
  <c r="AL9" i="4"/>
  <c r="AM9" i="4"/>
  <c r="AN9" i="4"/>
  <c r="AO9" i="4"/>
  <c r="AP9" i="4"/>
  <c r="AI10" i="4"/>
  <c r="AJ10" i="4"/>
  <c r="AK10" i="4"/>
  <c r="AL10" i="4"/>
  <c r="AM10" i="4"/>
  <c r="AN10" i="4"/>
  <c r="AO10" i="4"/>
  <c r="AP10" i="4"/>
  <c r="AI11" i="4"/>
  <c r="AJ11" i="4"/>
  <c r="AK11" i="4"/>
  <c r="AL11" i="4"/>
  <c r="AM11" i="4"/>
  <c r="AN11" i="4"/>
  <c r="AO11" i="4"/>
  <c r="AP11" i="4"/>
  <c r="AI12" i="4"/>
  <c r="AJ12" i="4"/>
  <c r="AK12" i="4"/>
  <c r="AL12" i="4"/>
  <c r="AM12" i="4"/>
  <c r="AN12" i="4"/>
  <c r="AO12" i="4"/>
  <c r="AP12" i="4"/>
  <c r="AI13" i="4"/>
  <c r="AJ13" i="4"/>
  <c r="AK13" i="4"/>
  <c r="AL13" i="4"/>
  <c r="AM13" i="4"/>
  <c r="AN13" i="4"/>
  <c r="AO13" i="4"/>
  <c r="AP13" i="4"/>
  <c r="AI14" i="4"/>
  <c r="AJ14" i="4"/>
  <c r="AK14" i="4"/>
  <c r="AL14" i="4"/>
  <c r="AM14" i="4"/>
  <c r="AN14" i="4"/>
  <c r="AO14" i="4"/>
  <c r="AP14" i="4"/>
  <c r="AI15" i="4"/>
  <c r="AJ15" i="4"/>
  <c r="AK15" i="4"/>
  <c r="AL15" i="4"/>
  <c r="AM15" i="4"/>
  <c r="AN15" i="4"/>
  <c r="AO15" i="4"/>
  <c r="AP15" i="4"/>
  <c r="AI16" i="4"/>
  <c r="AJ16" i="4"/>
  <c r="AK16" i="4"/>
  <c r="AL16" i="4"/>
  <c r="AM16" i="4"/>
  <c r="AN16" i="4"/>
  <c r="AO16" i="4"/>
  <c r="AP16" i="4"/>
  <c r="AI17" i="4"/>
  <c r="AJ17" i="4"/>
  <c r="AK17" i="4"/>
  <c r="AL17" i="4"/>
  <c r="AM17" i="4"/>
  <c r="AN17" i="4"/>
  <c r="AO17" i="4"/>
  <c r="AP17" i="4"/>
  <c r="AI18" i="4"/>
  <c r="AJ18" i="4"/>
  <c r="AK18" i="4"/>
  <c r="AL18" i="4"/>
  <c r="AM18" i="4"/>
  <c r="AN18" i="4"/>
  <c r="AO18" i="4"/>
  <c r="AP18" i="4"/>
  <c r="AI19" i="4"/>
  <c r="AJ19" i="4"/>
  <c r="AK19" i="4"/>
  <c r="AL19" i="4"/>
  <c r="AM19" i="4"/>
  <c r="AN19" i="4"/>
  <c r="AO19" i="4"/>
  <c r="AP19" i="4"/>
  <c r="AI20" i="4"/>
  <c r="AJ20" i="4"/>
  <c r="AK20" i="4"/>
  <c r="AL20" i="4"/>
  <c r="AM20" i="4"/>
  <c r="AN20" i="4"/>
  <c r="AO20" i="4"/>
  <c r="AP20" i="4"/>
  <c r="AI21" i="4"/>
  <c r="AJ21" i="4"/>
  <c r="AK21" i="4"/>
  <c r="AL21" i="4"/>
  <c r="AM21" i="4"/>
  <c r="AN21" i="4"/>
  <c r="AO21" i="4"/>
  <c r="AP21" i="4"/>
  <c r="AI22" i="4"/>
  <c r="AJ22" i="4"/>
  <c r="AK22" i="4"/>
  <c r="AL22" i="4"/>
  <c r="AM22" i="4"/>
  <c r="AN22" i="4"/>
  <c r="AO22" i="4"/>
  <c r="AP22" i="4"/>
  <c r="AI23" i="4"/>
  <c r="AJ23" i="4"/>
  <c r="AK23" i="4"/>
  <c r="AL23" i="4"/>
  <c r="AM23" i="4"/>
  <c r="AN23" i="4"/>
  <c r="AO23" i="4"/>
  <c r="AP23" i="4"/>
  <c r="AI24" i="4"/>
  <c r="AJ24" i="4"/>
  <c r="AK24" i="4"/>
  <c r="AL24" i="4"/>
  <c r="AM24" i="4"/>
  <c r="AN24" i="4"/>
  <c r="AO24" i="4"/>
  <c r="AP24" i="4"/>
  <c r="AI25" i="4"/>
  <c r="AI332" i="4" s="1"/>
  <c r="AI335" i="4" s="1"/>
  <c r="AJ25" i="4"/>
  <c r="AK25" i="4"/>
  <c r="AL25" i="4"/>
  <c r="AM25" i="4"/>
  <c r="AN25" i="4"/>
  <c r="AO25" i="4"/>
  <c r="AP25" i="4"/>
  <c r="AI26" i="4"/>
  <c r="AJ26" i="4"/>
  <c r="AK26" i="4"/>
  <c r="AL26" i="4"/>
  <c r="AM26" i="4"/>
  <c r="AN26" i="4"/>
  <c r="AO26" i="4"/>
  <c r="AP26" i="4"/>
  <c r="AI27" i="4"/>
  <c r="AJ27" i="4"/>
  <c r="AK27" i="4"/>
  <c r="AL27" i="4"/>
  <c r="AM27" i="4"/>
  <c r="AN27" i="4"/>
  <c r="AO27" i="4"/>
  <c r="AP27" i="4"/>
  <c r="AI28" i="4"/>
  <c r="AJ28" i="4"/>
  <c r="AK28" i="4"/>
  <c r="AL28" i="4"/>
  <c r="AM28" i="4"/>
  <c r="AN28" i="4"/>
  <c r="AO28" i="4"/>
  <c r="AP28" i="4"/>
  <c r="AI29" i="4"/>
  <c r="AJ29" i="4"/>
  <c r="AK29" i="4"/>
  <c r="AL29" i="4"/>
  <c r="AM29" i="4"/>
  <c r="AN29" i="4"/>
  <c r="AO29" i="4"/>
  <c r="AP29" i="4"/>
  <c r="AI30" i="4"/>
  <c r="AJ30" i="4"/>
  <c r="AK30" i="4"/>
  <c r="AL30" i="4"/>
  <c r="AM30" i="4"/>
  <c r="AN30" i="4"/>
  <c r="AO30" i="4"/>
  <c r="AP30" i="4"/>
  <c r="AI31" i="4"/>
  <c r="AJ31" i="4"/>
  <c r="AK31" i="4"/>
  <c r="AL31" i="4"/>
  <c r="AM31" i="4"/>
  <c r="AN31" i="4"/>
  <c r="AO31" i="4"/>
  <c r="AP31" i="4"/>
  <c r="AI32" i="4"/>
  <c r="AJ32" i="4"/>
  <c r="AK32" i="4"/>
  <c r="AL32" i="4"/>
  <c r="AM32" i="4"/>
  <c r="AN32" i="4"/>
  <c r="AO32" i="4"/>
  <c r="AP32" i="4"/>
  <c r="AI33" i="4"/>
  <c r="AJ33" i="4"/>
  <c r="AK33" i="4"/>
  <c r="AL33" i="4"/>
  <c r="AM33" i="4"/>
  <c r="AN33" i="4"/>
  <c r="AO33" i="4"/>
  <c r="AP33" i="4"/>
  <c r="AI34" i="4"/>
  <c r="AJ34" i="4"/>
  <c r="AK34" i="4"/>
  <c r="AL34" i="4"/>
  <c r="AM34" i="4"/>
  <c r="AN34" i="4"/>
  <c r="AO34" i="4"/>
  <c r="AP34" i="4"/>
  <c r="AI35" i="4"/>
  <c r="AJ35" i="4"/>
  <c r="AK35" i="4"/>
  <c r="AL35" i="4"/>
  <c r="AM35" i="4"/>
  <c r="AN35" i="4"/>
  <c r="AO35" i="4"/>
  <c r="AP35" i="4"/>
  <c r="AI36" i="4"/>
  <c r="AJ36" i="4"/>
  <c r="AK36" i="4"/>
  <c r="AL36" i="4"/>
  <c r="AM36" i="4"/>
  <c r="AN36" i="4"/>
  <c r="AO36" i="4"/>
  <c r="AP36" i="4"/>
  <c r="AI37" i="4"/>
  <c r="AJ37" i="4"/>
  <c r="AK37" i="4"/>
  <c r="AL37" i="4"/>
  <c r="AM37" i="4"/>
  <c r="AN37" i="4"/>
  <c r="AO37" i="4"/>
  <c r="AP37" i="4"/>
  <c r="AI38" i="4"/>
  <c r="AJ38" i="4"/>
  <c r="AK38" i="4"/>
  <c r="AL38" i="4"/>
  <c r="AM38" i="4"/>
  <c r="AN38" i="4"/>
  <c r="AO38" i="4"/>
  <c r="AP38" i="4"/>
  <c r="AI39" i="4"/>
  <c r="AJ39" i="4"/>
  <c r="AK39" i="4"/>
  <c r="AL39" i="4"/>
  <c r="AM39" i="4"/>
  <c r="AN39" i="4"/>
  <c r="AO39" i="4"/>
  <c r="AP39" i="4"/>
  <c r="AI40" i="4"/>
  <c r="AJ40" i="4"/>
  <c r="AK40" i="4"/>
  <c r="AL40" i="4"/>
  <c r="AM40" i="4"/>
  <c r="AN40" i="4"/>
  <c r="AO40" i="4"/>
  <c r="AP40" i="4"/>
  <c r="AI41" i="4"/>
  <c r="AJ41" i="4"/>
  <c r="AK41" i="4"/>
  <c r="AL41" i="4"/>
  <c r="AM41" i="4"/>
  <c r="AN41" i="4"/>
  <c r="AO41" i="4"/>
  <c r="AP41" i="4"/>
  <c r="AI42" i="4"/>
  <c r="AJ42" i="4"/>
  <c r="AK42" i="4"/>
  <c r="AL42" i="4"/>
  <c r="AM42" i="4"/>
  <c r="AN42" i="4"/>
  <c r="AO42" i="4"/>
  <c r="AP42" i="4"/>
  <c r="AI43" i="4"/>
  <c r="AJ43" i="4"/>
  <c r="AK43" i="4"/>
  <c r="AL43" i="4"/>
  <c r="AM43" i="4"/>
  <c r="AN43" i="4"/>
  <c r="AO43" i="4"/>
  <c r="AP43" i="4"/>
  <c r="AI44" i="4"/>
  <c r="AJ44" i="4"/>
  <c r="AK44" i="4"/>
  <c r="AL44" i="4"/>
  <c r="AM44" i="4"/>
  <c r="AN44" i="4"/>
  <c r="AO44" i="4"/>
  <c r="AP44" i="4"/>
  <c r="AI45" i="4"/>
  <c r="AJ45" i="4"/>
  <c r="AK45" i="4"/>
  <c r="AL45" i="4"/>
  <c r="AM45" i="4"/>
  <c r="AN45" i="4"/>
  <c r="AO45" i="4"/>
  <c r="AP45" i="4"/>
  <c r="AI46" i="4"/>
  <c r="AJ46" i="4"/>
  <c r="AK46" i="4"/>
  <c r="AL46" i="4"/>
  <c r="AM46" i="4"/>
  <c r="AN46" i="4"/>
  <c r="AO46" i="4"/>
  <c r="AP46" i="4"/>
  <c r="AI47" i="4"/>
  <c r="AJ47" i="4"/>
  <c r="AK47" i="4"/>
  <c r="AL47" i="4"/>
  <c r="AM47" i="4"/>
  <c r="AN47" i="4"/>
  <c r="AO47" i="4"/>
  <c r="AP47" i="4"/>
  <c r="AI48" i="4"/>
  <c r="AJ48" i="4"/>
  <c r="AK48" i="4"/>
  <c r="AL48" i="4"/>
  <c r="AM48" i="4"/>
  <c r="AN48" i="4"/>
  <c r="AO48" i="4"/>
  <c r="AP48" i="4"/>
  <c r="AI49" i="4"/>
  <c r="AJ49" i="4"/>
  <c r="AK49" i="4"/>
  <c r="AL49" i="4"/>
  <c r="AM49" i="4"/>
  <c r="AN49" i="4"/>
  <c r="AO49" i="4"/>
  <c r="AP49" i="4"/>
  <c r="AI50" i="4"/>
  <c r="AJ50" i="4"/>
  <c r="AK50" i="4"/>
  <c r="AL50" i="4"/>
  <c r="AM50" i="4"/>
  <c r="AN50" i="4"/>
  <c r="AO50" i="4"/>
  <c r="AP50" i="4"/>
  <c r="AI51" i="4"/>
  <c r="AJ51" i="4"/>
  <c r="AK51" i="4"/>
  <c r="AL51" i="4"/>
  <c r="AM51" i="4"/>
  <c r="AN51" i="4"/>
  <c r="AO51" i="4"/>
  <c r="AP51" i="4"/>
  <c r="AI52" i="4"/>
  <c r="AJ52" i="4"/>
  <c r="AK52" i="4"/>
  <c r="AL52" i="4"/>
  <c r="AM52" i="4"/>
  <c r="AN52" i="4"/>
  <c r="AO52" i="4"/>
  <c r="AP52" i="4"/>
  <c r="AI53" i="4"/>
  <c r="AJ53" i="4"/>
  <c r="AK53" i="4"/>
  <c r="AL53" i="4"/>
  <c r="AM53" i="4"/>
  <c r="AN53" i="4"/>
  <c r="AO53" i="4"/>
  <c r="AP53" i="4"/>
  <c r="AI54" i="4"/>
  <c r="AJ54" i="4"/>
  <c r="AK54" i="4"/>
  <c r="AL54" i="4"/>
  <c r="AM54" i="4"/>
  <c r="AN54" i="4"/>
  <c r="AO54" i="4"/>
  <c r="AP54" i="4"/>
  <c r="AI55" i="4"/>
  <c r="AJ55" i="4"/>
  <c r="AK55" i="4"/>
  <c r="AL55" i="4"/>
  <c r="AM55" i="4"/>
  <c r="AN55" i="4"/>
  <c r="AO55" i="4"/>
  <c r="AP55" i="4"/>
  <c r="AI56" i="4"/>
  <c r="AJ56" i="4"/>
  <c r="AK56" i="4"/>
  <c r="AL56" i="4"/>
  <c r="AM56" i="4"/>
  <c r="AN56" i="4"/>
  <c r="AO56" i="4"/>
  <c r="AP56" i="4"/>
  <c r="AI57" i="4"/>
  <c r="AJ57" i="4"/>
  <c r="AK57" i="4"/>
  <c r="AL57" i="4"/>
  <c r="AM57" i="4"/>
  <c r="AN57" i="4"/>
  <c r="AO57" i="4"/>
  <c r="AP57" i="4"/>
  <c r="AI58" i="4"/>
  <c r="AJ58" i="4"/>
  <c r="AK58" i="4"/>
  <c r="AL58" i="4"/>
  <c r="AM58" i="4"/>
  <c r="AN58" i="4"/>
  <c r="AO58" i="4"/>
  <c r="AP58" i="4"/>
  <c r="AI59" i="4"/>
  <c r="AJ59" i="4"/>
  <c r="AK59" i="4"/>
  <c r="AL59" i="4"/>
  <c r="AM59" i="4"/>
  <c r="AN59" i="4"/>
  <c r="AO59" i="4"/>
  <c r="AP59" i="4"/>
  <c r="AI60" i="4"/>
  <c r="AJ60" i="4"/>
  <c r="AK60" i="4"/>
  <c r="AL60" i="4"/>
  <c r="AM60" i="4"/>
  <c r="AN60" i="4"/>
  <c r="AO60" i="4"/>
  <c r="AP60" i="4"/>
  <c r="AI61" i="4"/>
  <c r="AJ61" i="4"/>
  <c r="AK61" i="4"/>
  <c r="AL61" i="4"/>
  <c r="AM61" i="4"/>
  <c r="AN61" i="4"/>
  <c r="AO61" i="4"/>
  <c r="AP61" i="4"/>
  <c r="AI62" i="4"/>
  <c r="AJ62" i="4"/>
  <c r="AK62" i="4"/>
  <c r="AL62" i="4"/>
  <c r="AM62" i="4"/>
  <c r="AN62" i="4"/>
  <c r="AO62" i="4"/>
  <c r="AP62" i="4"/>
  <c r="AI63" i="4"/>
  <c r="AJ63" i="4"/>
  <c r="AK63" i="4"/>
  <c r="AL63" i="4"/>
  <c r="AM63" i="4"/>
  <c r="AN63" i="4"/>
  <c r="AO63" i="4"/>
  <c r="AP63" i="4"/>
  <c r="AI64" i="4"/>
  <c r="AJ64" i="4"/>
  <c r="AK64" i="4"/>
  <c r="AL64" i="4"/>
  <c r="AM64" i="4"/>
  <c r="AN64" i="4"/>
  <c r="AO64" i="4"/>
  <c r="AP64" i="4"/>
  <c r="AI65" i="4"/>
  <c r="AJ65" i="4"/>
  <c r="AK65" i="4"/>
  <c r="AL65" i="4"/>
  <c r="AM65" i="4"/>
  <c r="AN65" i="4"/>
  <c r="AO65" i="4"/>
  <c r="AP65" i="4"/>
  <c r="AI66" i="4"/>
  <c r="AJ66" i="4"/>
  <c r="AK66" i="4"/>
  <c r="AL66" i="4"/>
  <c r="AM66" i="4"/>
  <c r="AN66" i="4"/>
  <c r="AO66" i="4"/>
  <c r="AP66" i="4"/>
  <c r="AI67" i="4"/>
  <c r="AJ67" i="4"/>
  <c r="AK67" i="4"/>
  <c r="AL67" i="4"/>
  <c r="AM67" i="4"/>
  <c r="AN67" i="4"/>
  <c r="AO67" i="4"/>
  <c r="AP67" i="4"/>
  <c r="AI68" i="4"/>
  <c r="AJ68" i="4"/>
  <c r="AK68" i="4"/>
  <c r="AL68" i="4"/>
  <c r="AM68" i="4"/>
  <c r="AN68" i="4"/>
  <c r="AO68" i="4"/>
  <c r="AP68" i="4"/>
  <c r="AI69" i="4"/>
  <c r="AJ69" i="4"/>
  <c r="AK69" i="4"/>
  <c r="AL69" i="4"/>
  <c r="AM69" i="4"/>
  <c r="AN69" i="4"/>
  <c r="AO69" i="4"/>
  <c r="AP69" i="4"/>
  <c r="AI70" i="4"/>
  <c r="AJ70" i="4"/>
  <c r="AK70" i="4"/>
  <c r="AL70" i="4"/>
  <c r="AM70" i="4"/>
  <c r="AN70" i="4"/>
  <c r="AO70" i="4"/>
  <c r="AP70" i="4"/>
  <c r="AI71" i="4"/>
  <c r="AJ71" i="4"/>
  <c r="AK71" i="4"/>
  <c r="AL71" i="4"/>
  <c r="AM71" i="4"/>
  <c r="AN71" i="4"/>
  <c r="AO71" i="4"/>
  <c r="AP71" i="4"/>
  <c r="AI72" i="4"/>
  <c r="AJ72" i="4"/>
  <c r="AK72" i="4"/>
  <c r="AL72" i="4"/>
  <c r="AM72" i="4"/>
  <c r="AN72" i="4"/>
  <c r="AO72" i="4"/>
  <c r="AP72" i="4"/>
  <c r="AI73" i="4"/>
  <c r="AJ73" i="4"/>
  <c r="AK73" i="4"/>
  <c r="AL73" i="4"/>
  <c r="AM73" i="4"/>
  <c r="AN73" i="4"/>
  <c r="AO73" i="4"/>
  <c r="AP73" i="4"/>
  <c r="AI74" i="4"/>
  <c r="AJ74" i="4"/>
  <c r="AK74" i="4"/>
  <c r="AL74" i="4"/>
  <c r="AM74" i="4"/>
  <c r="AN74" i="4"/>
  <c r="AO74" i="4"/>
  <c r="AP74" i="4"/>
  <c r="AI75" i="4"/>
  <c r="AJ75" i="4"/>
  <c r="AK75" i="4"/>
  <c r="AL75" i="4"/>
  <c r="AM75" i="4"/>
  <c r="AN75" i="4"/>
  <c r="AO75" i="4"/>
  <c r="AP75" i="4"/>
  <c r="AI76" i="4"/>
  <c r="AJ76" i="4"/>
  <c r="AK76" i="4"/>
  <c r="AL76" i="4"/>
  <c r="AM76" i="4"/>
  <c r="AN76" i="4"/>
  <c r="AO76" i="4"/>
  <c r="AP76" i="4"/>
  <c r="AI77" i="4"/>
  <c r="AJ77" i="4"/>
  <c r="AK77" i="4"/>
  <c r="AL77" i="4"/>
  <c r="AM77" i="4"/>
  <c r="AN77" i="4"/>
  <c r="AO77" i="4"/>
  <c r="AP77" i="4"/>
  <c r="AI78" i="4"/>
  <c r="AJ78" i="4"/>
  <c r="AK78" i="4"/>
  <c r="AL78" i="4"/>
  <c r="AM78" i="4"/>
  <c r="AN78" i="4"/>
  <c r="AO78" i="4"/>
  <c r="AP78" i="4"/>
  <c r="AI79" i="4"/>
  <c r="AJ79" i="4"/>
  <c r="AK79" i="4"/>
  <c r="AL79" i="4"/>
  <c r="AM79" i="4"/>
  <c r="AN79" i="4"/>
  <c r="AO79" i="4"/>
  <c r="AP79" i="4"/>
  <c r="AI80" i="4"/>
  <c r="AJ80" i="4"/>
  <c r="AK80" i="4"/>
  <c r="AL80" i="4"/>
  <c r="AM80" i="4"/>
  <c r="AN80" i="4"/>
  <c r="AO80" i="4"/>
  <c r="AP80" i="4"/>
  <c r="AI81" i="4"/>
  <c r="AJ81" i="4"/>
  <c r="AK81" i="4"/>
  <c r="AL81" i="4"/>
  <c r="AM81" i="4"/>
  <c r="AN81" i="4"/>
  <c r="AO81" i="4"/>
  <c r="AP81" i="4"/>
  <c r="AI82" i="4"/>
  <c r="AJ82" i="4"/>
  <c r="AK82" i="4"/>
  <c r="AL82" i="4"/>
  <c r="AM82" i="4"/>
  <c r="AN82" i="4"/>
  <c r="AO82" i="4"/>
  <c r="AP82" i="4"/>
  <c r="AI83" i="4"/>
  <c r="AJ83" i="4"/>
  <c r="AK83" i="4"/>
  <c r="AL83" i="4"/>
  <c r="AM83" i="4"/>
  <c r="AN83" i="4"/>
  <c r="AO83" i="4"/>
  <c r="AP83" i="4"/>
  <c r="AI84" i="4"/>
  <c r="AJ84" i="4"/>
  <c r="AK84" i="4"/>
  <c r="AL84" i="4"/>
  <c r="AM84" i="4"/>
  <c r="AN84" i="4"/>
  <c r="AO84" i="4"/>
  <c r="AP84" i="4"/>
  <c r="AI85" i="4"/>
  <c r="AJ85" i="4"/>
  <c r="AK85" i="4"/>
  <c r="AL85" i="4"/>
  <c r="AM85" i="4"/>
  <c r="AN85" i="4"/>
  <c r="AO85" i="4"/>
  <c r="AP85" i="4"/>
  <c r="AI86" i="4"/>
  <c r="AJ86" i="4"/>
  <c r="AK86" i="4"/>
  <c r="AL86" i="4"/>
  <c r="AM86" i="4"/>
  <c r="AN86" i="4"/>
  <c r="AO86" i="4"/>
  <c r="AP86" i="4"/>
  <c r="AI87" i="4"/>
  <c r="AJ87" i="4"/>
  <c r="AK87" i="4"/>
  <c r="AL87" i="4"/>
  <c r="AM87" i="4"/>
  <c r="AN87" i="4"/>
  <c r="AO87" i="4"/>
  <c r="AP87" i="4"/>
  <c r="AI88" i="4"/>
  <c r="AJ88" i="4"/>
  <c r="AK88" i="4"/>
  <c r="AL88" i="4"/>
  <c r="AM88" i="4"/>
  <c r="AN88" i="4"/>
  <c r="AO88" i="4"/>
  <c r="AP88" i="4"/>
  <c r="AI89" i="4"/>
  <c r="AJ89" i="4"/>
  <c r="AK89" i="4"/>
  <c r="AL89" i="4"/>
  <c r="AM89" i="4"/>
  <c r="AN89" i="4"/>
  <c r="AO89" i="4"/>
  <c r="AP89" i="4"/>
  <c r="AI90" i="4"/>
  <c r="AJ90" i="4"/>
  <c r="AK90" i="4"/>
  <c r="AL90" i="4"/>
  <c r="AM90" i="4"/>
  <c r="AN90" i="4"/>
  <c r="AO90" i="4"/>
  <c r="AP90" i="4"/>
  <c r="AI91" i="4"/>
  <c r="AJ91" i="4"/>
  <c r="AK91" i="4"/>
  <c r="AL91" i="4"/>
  <c r="AM91" i="4"/>
  <c r="AN91" i="4"/>
  <c r="AO91" i="4"/>
  <c r="AP91" i="4"/>
  <c r="AI92" i="4"/>
  <c r="AJ92" i="4"/>
  <c r="AK92" i="4"/>
  <c r="AL92" i="4"/>
  <c r="AM92" i="4"/>
  <c r="AN92" i="4"/>
  <c r="AO92" i="4"/>
  <c r="AP92" i="4"/>
  <c r="AI93" i="4"/>
  <c r="AJ93" i="4"/>
  <c r="AK93" i="4"/>
  <c r="AL93" i="4"/>
  <c r="AM93" i="4"/>
  <c r="AN93" i="4"/>
  <c r="AO93" i="4"/>
  <c r="AP93" i="4"/>
  <c r="AI94" i="4"/>
  <c r="AJ94" i="4"/>
  <c r="AK94" i="4"/>
  <c r="AL94" i="4"/>
  <c r="AM94" i="4"/>
  <c r="AN94" i="4"/>
  <c r="AO94" i="4"/>
  <c r="AP94" i="4"/>
  <c r="AI95" i="4"/>
  <c r="AJ95" i="4"/>
  <c r="AK95" i="4"/>
  <c r="AL95" i="4"/>
  <c r="AM95" i="4"/>
  <c r="AN95" i="4"/>
  <c r="AO95" i="4"/>
  <c r="AP95" i="4"/>
  <c r="AI96" i="4"/>
  <c r="AJ96" i="4"/>
  <c r="AK96" i="4"/>
  <c r="AL96" i="4"/>
  <c r="AM96" i="4"/>
  <c r="AN96" i="4"/>
  <c r="AO96" i="4"/>
  <c r="AP96" i="4"/>
  <c r="AI97" i="4"/>
  <c r="AJ97" i="4"/>
  <c r="AK97" i="4"/>
  <c r="AL97" i="4"/>
  <c r="AM97" i="4"/>
  <c r="AN97" i="4"/>
  <c r="AO97" i="4"/>
  <c r="AP97" i="4"/>
  <c r="AI98" i="4"/>
  <c r="AJ98" i="4"/>
  <c r="AK98" i="4"/>
  <c r="AL98" i="4"/>
  <c r="AM98" i="4"/>
  <c r="AN98" i="4"/>
  <c r="AO98" i="4"/>
  <c r="AP98" i="4"/>
  <c r="AI99" i="4"/>
  <c r="AJ99" i="4"/>
  <c r="AK99" i="4"/>
  <c r="AL99" i="4"/>
  <c r="AM99" i="4"/>
  <c r="AN99" i="4"/>
  <c r="AO99" i="4"/>
  <c r="AP99" i="4"/>
  <c r="AI100" i="4"/>
  <c r="AJ100" i="4"/>
  <c r="AK100" i="4"/>
  <c r="AL100" i="4"/>
  <c r="AM100" i="4"/>
  <c r="AN100" i="4"/>
  <c r="AO100" i="4"/>
  <c r="AP100" i="4"/>
  <c r="AI101" i="4"/>
  <c r="AJ101" i="4"/>
  <c r="AK101" i="4"/>
  <c r="AL101" i="4"/>
  <c r="AM101" i="4"/>
  <c r="AN101" i="4"/>
  <c r="AO101" i="4"/>
  <c r="AP101" i="4"/>
  <c r="AI102" i="4"/>
  <c r="AJ102" i="4"/>
  <c r="AK102" i="4"/>
  <c r="AL102" i="4"/>
  <c r="AM102" i="4"/>
  <c r="AN102" i="4"/>
  <c r="AO102" i="4"/>
  <c r="AP102" i="4"/>
  <c r="AI103" i="4"/>
  <c r="AJ103" i="4"/>
  <c r="AK103" i="4"/>
  <c r="AL103" i="4"/>
  <c r="AM103" i="4"/>
  <c r="AN103" i="4"/>
  <c r="AO103" i="4"/>
  <c r="AP103" i="4"/>
  <c r="AI104" i="4"/>
  <c r="AJ104" i="4"/>
  <c r="AK104" i="4"/>
  <c r="AL104" i="4"/>
  <c r="AM104" i="4"/>
  <c r="AN104" i="4"/>
  <c r="AO104" i="4"/>
  <c r="AP104" i="4"/>
  <c r="AI105" i="4"/>
  <c r="AJ105" i="4"/>
  <c r="AK105" i="4"/>
  <c r="AL105" i="4"/>
  <c r="AM105" i="4"/>
  <c r="AN105" i="4"/>
  <c r="AO105" i="4"/>
  <c r="AP105" i="4"/>
  <c r="AI106" i="4"/>
  <c r="AJ106" i="4"/>
  <c r="AK106" i="4"/>
  <c r="AL106" i="4"/>
  <c r="AM106" i="4"/>
  <c r="AN106" i="4"/>
  <c r="AO106" i="4"/>
  <c r="AP106" i="4"/>
  <c r="AI107" i="4"/>
  <c r="AJ107" i="4"/>
  <c r="AK107" i="4"/>
  <c r="AL107" i="4"/>
  <c r="AM107" i="4"/>
  <c r="AN107" i="4"/>
  <c r="AO107" i="4"/>
  <c r="AP107" i="4"/>
  <c r="AI108" i="4"/>
  <c r="AJ108" i="4"/>
  <c r="AK108" i="4"/>
  <c r="AL108" i="4"/>
  <c r="AM108" i="4"/>
  <c r="AN108" i="4"/>
  <c r="AO108" i="4"/>
  <c r="AP108" i="4"/>
  <c r="AI109" i="4"/>
  <c r="AJ109" i="4"/>
  <c r="AK109" i="4"/>
  <c r="AL109" i="4"/>
  <c r="AM109" i="4"/>
  <c r="AN109" i="4"/>
  <c r="AO109" i="4"/>
  <c r="AP109" i="4"/>
  <c r="AI110" i="4"/>
  <c r="AJ110" i="4"/>
  <c r="AK110" i="4"/>
  <c r="AL110" i="4"/>
  <c r="AM110" i="4"/>
  <c r="AN110" i="4"/>
  <c r="AO110" i="4"/>
  <c r="AP110" i="4"/>
  <c r="AI111" i="4"/>
  <c r="AJ111" i="4"/>
  <c r="AK111" i="4"/>
  <c r="AL111" i="4"/>
  <c r="AM111" i="4"/>
  <c r="AN111" i="4"/>
  <c r="AO111" i="4"/>
  <c r="AP111" i="4"/>
  <c r="AI112" i="4"/>
  <c r="AJ112" i="4"/>
  <c r="AK112" i="4"/>
  <c r="AL112" i="4"/>
  <c r="AM112" i="4"/>
  <c r="AN112" i="4"/>
  <c r="AO112" i="4"/>
  <c r="AP112" i="4"/>
  <c r="AI113" i="4"/>
  <c r="AJ113" i="4"/>
  <c r="AK113" i="4"/>
  <c r="AL113" i="4"/>
  <c r="AM113" i="4"/>
  <c r="AN113" i="4"/>
  <c r="AO113" i="4"/>
  <c r="AP113" i="4"/>
  <c r="AI114" i="4"/>
  <c r="AJ114" i="4"/>
  <c r="AK114" i="4"/>
  <c r="AL114" i="4"/>
  <c r="AM114" i="4"/>
  <c r="AN114" i="4"/>
  <c r="AO114" i="4"/>
  <c r="AP114" i="4"/>
  <c r="AI115" i="4"/>
  <c r="AJ115" i="4"/>
  <c r="AK115" i="4"/>
  <c r="AL115" i="4"/>
  <c r="AM115" i="4"/>
  <c r="AN115" i="4"/>
  <c r="AO115" i="4"/>
  <c r="AP115" i="4"/>
  <c r="AI116" i="4"/>
  <c r="AJ116" i="4"/>
  <c r="AK116" i="4"/>
  <c r="AL116" i="4"/>
  <c r="AM116" i="4"/>
  <c r="AN116" i="4"/>
  <c r="AO116" i="4"/>
  <c r="AP116" i="4"/>
  <c r="AI117" i="4"/>
  <c r="AJ117" i="4"/>
  <c r="AK117" i="4"/>
  <c r="AL117" i="4"/>
  <c r="AM117" i="4"/>
  <c r="AN117" i="4"/>
  <c r="AO117" i="4"/>
  <c r="AP117" i="4"/>
  <c r="AI118" i="4"/>
  <c r="AJ118" i="4"/>
  <c r="AK118" i="4"/>
  <c r="AL118" i="4"/>
  <c r="AM118" i="4"/>
  <c r="AN118" i="4"/>
  <c r="AO118" i="4"/>
  <c r="AP118" i="4"/>
  <c r="AI119" i="4"/>
  <c r="AJ119" i="4"/>
  <c r="AK119" i="4"/>
  <c r="AL119" i="4"/>
  <c r="AM119" i="4"/>
  <c r="AN119" i="4"/>
  <c r="AO119" i="4"/>
  <c r="AP119" i="4"/>
  <c r="AI120" i="4"/>
  <c r="AJ120" i="4"/>
  <c r="AK120" i="4"/>
  <c r="AL120" i="4"/>
  <c r="AM120" i="4"/>
  <c r="AN120" i="4"/>
  <c r="AO120" i="4"/>
  <c r="AP120" i="4"/>
  <c r="AI121" i="4"/>
  <c r="AJ121" i="4"/>
  <c r="AK121" i="4"/>
  <c r="AL121" i="4"/>
  <c r="AM121" i="4"/>
  <c r="AN121" i="4"/>
  <c r="AO121" i="4"/>
  <c r="AP121" i="4"/>
  <c r="AI122" i="4"/>
  <c r="AJ122" i="4"/>
  <c r="AK122" i="4"/>
  <c r="AL122" i="4"/>
  <c r="AM122" i="4"/>
  <c r="AN122" i="4"/>
  <c r="AO122" i="4"/>
  <c r="AP122" i="4"/>
  <c r="AI123" i="4"/>
  <c r="AJ123" i="4"/>
  <c r="AK123" i="4"/>
  <c r="AL123" i="4"/>
  <c r="AM123" i="4"/>
  <c r="AN123" i="4"/>
  <c r="AO123" i="4"/>
  <c r="AP123" i="4"/>
  <c r="AI124" i="4"/>
  <c r="AJ124" i="4"/>
  <c r="AK124" i="4"/>
  <c r="AL124" i="4"/>
  <c r="AM124" i="4"/>
  <c r="AN124" i="4"/>
  <c r="AO124" i="4"/>
  <c r="AP124" i="4"/>
  <c r="AI125" i="4"/>
  <c r="AJ125" i="4"/>
  <c r="AK125" i="4"/>
  <c r="AL125" i="4"/>
  <c r="AM125" i="4"/>
  <c r="AN125" i="4"/>
  <c r="AO125" i="4"/>
  <c r="AP125" i="4"/>
  <c r="AI126" i="4"/>
  <c r="AJ126" i="4"/>
  <c r="AK126" i="4"/>
  <c r="AL126" i="4"/>
  <c r="AM126" i="4"/>
  <c r="AN126" i="4"/>
  <c r="AO126" i="4"/>
  <c r="AP126" i="4"/>
  <c r="AI127" i="4"/>
  <c r="AJ127" i="4"/>
  <c r="AK127" i="4"/>
  <c r="AL127" i="4"/>
  <c r="AM127" i="4"/>
  <c r="AN127" i="4"/>
  <c r="AO127" i="4"/>
  <c r="AP127" i="4"/>
  <c r="AI128" i="4"/>
  <c r="AJ128" i="4"/>
  <c r="AK128" i="4"/>
  <c r="AL128" i="4"/>
  <c r="AM128" i="4"/>
  <c r="AN128" i="4"/>
  <c r="AO128" i="4"/>
  <c r="AP128" i="4"/>
  <c r="AI129" i="4"/>
  <c r="AJ129" i="4"/>
  <c r="AK129" i="4"/>
  <c r="AL129" i="4"/>
  <c r="AM129" i="4"/>
  <c r="AN129" i="4"/>
  <c r="AO129" i="4"/>
  <c r="AP129" i="4"/>
  <c r="AI130" i="4"/>
  <c r="AJ130" i="4"/>
  <c r="AK130" i="4"/>
  <c r="AL130" i="4"/>
  <c r="AM130" i="4"/>
  <c r="AN130" i="4"/>
  <c r="AO130" i="4"/>
  <c r="AP130" i="4"/>
  <c r="AI131" i="4"/>
  <c r="AJ131" i="4"/>
  <c r="AK131" i="4"/>
  <c r="AL131" i="4"/>
  <c r="AM131" i="4"/>
  <c r="AN131" i="4"/>
  <c r="AO131" i="4"/>
  <c r="AP131" i="4"/>
  <c r="AI132" i="4"/>
  <c r="AJ132" i="4"/>
  <c r="AK132" i="4"/>
  <c r="AL132" i="4"/>
  <c r="AM132" i="4"/>
  <c r="AN132" i="4"/>
  <c r="AO132" i="4"/>
  <c r="AP132" i="4"/>
  <c r="AI133" i="4"/>
  <c r="AJ133" i="4"/>
  <c r="AK133" i="4"/>
  <c r="AL133" i="4"/>
  <c r="AM133" i="4"/>
  <c r="AN133" i="4"/>
  <c r="AO133" i="4"/>
  <c r="AP133" i="4"/>
  <c r="AI134" i="4"/>
  <c r="AJ134" i="4"/>
  <c r="AK134" i="4"/>
  <c r="AL134" i="4"/>
  <c r="AM134" i="4"/>
  <c r="AN134" i="4"/>
  <c r="AO134" i="4"/>
  <c r="AP134" i="4"/>
  <c r="AI135" i="4"/>
  <c r="AJ135" i="4"/>
  <c r="AK135" i="4"/>
  <c r="AL135" i="4"/>
  <c r="AM135" i="4"/>
  <c r="AN135" i="4"/>
  <c r="AO135" i="4"/>
  <c r="AP135" i="4"/>
  <c r="AI136" i="4"/>
  <c r="AJ136" i="4"/>
  <c r="AK136" i="4"/>
  <c r="AL136" i="4"/>
  <c r="AM136" i="4"/>
  <c r="AN136" i="4"/>
  <c r="AO136" i="4"/>
  <c r="AP136" i="4"/>
  <c r="AI137" i="4"/>
  <c r="AJ137" i="4"/>
  <c r="AK137" i="4"/>
  <c r="AL137" i="4"/>
  <c r="AM137" i="4"/>
  <c r="AN137" i="4"/>
  <c r="AO137" i="4"/>
  <c r="AP137" i="4"/>
  <c r="AI138" i="4"/>
  <c r="AJ138" i="4"/>
  <c r="AK138" i="4"/>
  <c r="AL138" i="4"/>
  <c r="AM138" i="4"/>
  <c r="AN138" i="4"/>
  <c r="AO138" i="4"/>
  <c r="AP138" i="4"/>
  <c r="AI139" i="4"/>
  <c r="AJ139" i="4"/>
  <c r="AK139" i="4"/>
  <c r="AL139" i="4"/>
  <c r="AM139" i="4"/>
  <c r="AN139" i="4"/>
  <c r="AO139" i="4"/>
  <c r="AP139" i="4"/>
  <c r="AI140" i="4"/>
  <c r="AJ140" i="4"/>
  <c r="AK140" i="4"/>
  <c r="AL140" i="4"/>
  <c r="AM140" i="4"/>
  <c r="AN140" i="4"/>
  <c r="AO140" i="4"/>
  <c r="AP140" i="4"/>
  <c r="AI141" i="4"/>
  <c r="AJ141" i="4"/>
  <c r="AK141" i="4"/>
  <c r="AL141" i="4"/>
  <c r="AM141" i="4"/>
  <c r="AN141" i="4"/>
  <c r="AO141" i="4"/>
  <c r="AP141" i="4"/>
  <c r="AI142" i="4"/>
  <c r="AJ142" i="4"/>
  <c r="AK142" i="4"/>
  <c r="AL142" i="4"/>
  <c r="AM142" i="4"/>
  <c r="AN142" i="4"/>
  <c r="AO142" i="4"/>
  <c r="AP142" i="4"/>
  <c r="AI143" i="4"/>
  <c r="AJ143" i="4"/>
  <c r="AK143" i="4"/>
  <c r="AL143" i="4"/>
  <c r="AM143" i="4"/>
  <c r="AN143" i="4"/>
  <c r="AO143" i="4"/>
  <c r="AP143" i="4"/>
  <c r="AI144" i="4"/>
  <c r="AJ144" i="4"/>
  <c r="AK144" i="4"/>
  <c r="AL144" i="4"/>
  <c r="AM144" i="4"/>
  <c r="AN144" i="4"/>
  <c r="AO144" i="4"/>
  <c r="AP144" i="4"/>
  <c r="AI145" i="4"/>
  <c r="AJ145" i="4"/>
  <c r="AK145" i="4"/>
  <c r="AL145" i="4"/>
  <c r="AM145" i="4"/>
  <c r="AN145" i="4"/>
  <c r="AO145" i="4"/>
  <c r="AP145" i="4"/>
  <c r="AI146" i="4"/>
  <c r="AJ146" i="4"/>
  <c r="AK146" i="4"/>
  <c r="AL146" i="4"/>
  <c r="AM146" i="4"/>
  <c r="AN146" i="4"/>
  <c r="AO146" i="4"/>
  <c r="AP146" i="4"/>
  <c r="AI147" i="4"/>
  <c r="AJ147" i="4"/>
  <c r="AK147" i="4"/>
  <c r="AL147" i="4"/>
  <c r="AM147" i="4"/>
  <c r="AN147" i="4"/>
  <c r="AO147" i="4"/>
  <c r="AP147" i="4"/>
  <c r="AI148" i="4"/>
  <c r="AJ148" i="4"/>
  <c r="AK148" i="4"/>
  <c r="AL148" i="4"/>
  <c r="AM148" i="4"/>
  <c r="AN148" i="4"/>
  <c r="AO148" i="4"/>
  <c r="AP148" i="4"/>
  <c r="AI149" i="4"/>
  <c r="AJ149" i="4"/>
  <c r="AK149" i="4"/>
  <c r="AL149" i="4"/>
  <c r="AM149" i="4"/>
  <c r="AN149" i="4"/>
  <c r="AO149" i="4"/>
  <c r="AP149" i="4"/>
  <c r="AI150" i="4"/>
  <c r="AJ150" i="4"/>
  <c r="AK150" i="4"/>
  <c r="AL150" i="4"/>
  <c r="AM150" i="4"/>
  <c r="AN150" i="4"/>
  <c r="AO150" i="4"/>
  <c r="AP150" i="4"/>
  <c r="AI151" i="4"/>
  <c r="AJ151" i="4"/>
  <c r="AK151" i="4"/>
  <c r="AL151" i="4"/>
  <c r="AM151" i="4"/>
  <c r="AN151" i="4"/>
  <c r="AO151" i="4"/>
  <c r="AP151" i="4"/>
  <c r="AI152" i="4"/>
  <c r="AJ152" i="4"/>
  <c r="AK152" i="4"/>
  <c r="AL152" i="4"/>
  <c r="AM152" i="4"/>
  <c r="AN152" i="4"/>
  <c r="AO152" i="4"/>
  <c r="AP152" i="4"/>
  <c r="AI153" i="4"/>
  <c r="AJ153" i="4"/>
  <c r="AK153" i="4"/>
  <c r="AL153" i="4"/>
  <c r="AM153" i="4"/>
  <c r="AN153" i="4"/>
  <c r="AO153" i="4"/>
  <c r="AP153" i="4"/>
  <c r="AI154" i="4"/>
  <c r="AJ154" i="4"/>
  <c r="AK154" i="4"/>
  <c r="AL154" i="4"/>
  <c r="AM154" i="4"/>
  <c r="AN154" i="4"/>
  <c r="AO154" i="4"/>
  <c r="AP154" i="4"/>
  <c r="AI155" i="4"/>
  <c r="AJ155" i="4"/>
  <c r="AK155" i="4"/>
  <c r="AL155" i="4"/>
  <c r="AM155" i="4"/>
  <c r="AN155" i="4"/>
  <c r="AO155" i="4"/>
  <c r="AP155" i="4"/>
  <c r="AI156" i="4"/>
  <c r="AJ156" i="4"/>
  <c r="AK156" i="4"/>
  <c r="AL156" i="4"/>
  <c r="AM156" i="4"/>
  <c r="AN156" i="4"/>
  <c r="AO156" i="4"/>
  <c r="AP156" i="4"/>
  <c r="AI157" i="4"/>
  <c r="AJ157" i="4"/>
  <c r="AK157" i="4"/>
  <c r="AL157" i="4"/>
  <c r="AM157" i="4"/>
  <c r="AN157" i="4"/>
  <c r="AO157" i="4"/>
  <c r="AP157" i="4"/>
  <c r="AI158" i="4"/>
  <c r="AJ158" i="4"/>
  <c r="AK158" i="4"/>
  <c r="AL158" i="4"/>
  <c r="AM158" i="4"/>
  <c r="AN158" i="4"/>
  <c r="AO158" i="4"/>
  <c r="AP158" i="4"/>
  <c r="AI159" i="4"/>
  <c r="AJ159" i="4"/>
  <c r="AK159" i="4"/>
  <c r="AL159" i="4"/>
  <c r="AM159" i="4"/>
  <c r="AN159" i="4"/>
  <c r="AO159" i="4"/>
  <c r="AP159" i="4"/>
  <c r="AI160" i="4"/>
  <c r="AJ160" i="4"/>
  <c r="AK160" i="4"/>
  <c r="AL160" i="4"/>
  <c r="AM160" i="4"/>
  <c r="AN160" i="4"/>
  <c r="AO160" i="4"/>
  <c r="AP160" i="4"/>
  <c r="AI161" i="4"/>
  <c r="AJ161" i="4"/>
  <c r="AK161" i="4"/>
  <c r="AL161" i="4"/>
  <c r="AM161" i="4"/>
  <c r="AN161" i="4"/>
  <c r="AO161" i="4"/>
  <c r="AP161" i="4"/>
  <c r="AI162" i="4"/>
  <c r="AJ162" i="4"/>
  <c r="AK162" i="4"/>
  <c r="AL162" i="4"/>
  <c r="AM162" i="4"/>
  <c r="AN162" i="4"/>
  <c r="AO162" i="4"/>
  <c r="AP162" i="4"/>
  <c r="AI163" i="4"/>
  <c r="AJ163" i="4"/>
  <c r="AK163" i="4"/>
  <c r="AL163" i="4"/>
  <c r="AM163" i="4"/>
  <c r="AN163" i="4"/>
  <c r="AO163" i="4"/>
  <c r="AP163" i="4"/>
  <c r="AI164" i="4"/>
  <c r="AJ164" i="4"/>
  <c r="AK164" i="4"/>
  <c r="AL164" i="4"/>
  <c r="AM164" i="4"/>
  <c r="AN164" i="4"/>
  <c r="AO164" i="4"/>
  <c r="AP164" i="4"/>
  <c r="AI165" i="4"/>
  <c r="AJ165" i="4"/>
  <c r="AK165" i="4"/>
  <c r="AL165" i="4"/>
  <c r="AM165" i="4"/>
  <c r="AN165" i="4"/>
  <c r="AO165" i="4"/>
  <c r="AP165" i="4"/>
  <c r="AI166" i="4"/>
  <c r="AJ166" i="4"/>
  <c r="AK166" i="4"/>
  <c r="AL166" i="4"/>
  <c r="AM166" i="4"/>
  <c r="AN166" i="4"/>
  <c r="AO166" i="4"/>
  <c r="AP166" i="4"/>
  <c r="AI167" i="4"/>
  <c r="AJ167" i="4"/>
  <c r="AK167" i="4"/>
  <c r="AL167" i="4"/>
  <c r="AM167" i="4"/>
  <c r="AN167" i="4"/>
  <c r="AO167" i="4"/>
  <c r="AP167" i="4"/>
  <c r="AI168" i="4"/>
  <c r="AJ168" i="4"/>
  <c r="AK168" i="4"/>
  <c r="AL168" i="4"/>
  <c r="AM168" i="4"/>
  <c r="AN168" i="4"/>
  <c r="AO168" i="4"/>
  <c r="AP168" i="4"/>
  <c r="AI169" i="4"/>
  <c r="AJ169" i="4"/>
  <c r="AK169" i="4"/>
  <c r="AL169" i="4"/>
  <c r="AM169" i="4"/>
  <c r="AN169" i="4"/>
  <c r="AO169" i="4"/>
  <c r="AP169" i="4"/>
  <c r="AI170" i="4"/>
  <c r="AJ170" i="4"/>
  <c r="AK170" i="4"/>
  <c r="AL170" i="4"/>
  <c r="AM170" i="4"/>
  <c r="AN170" i="4"/>
  <c r="AO170" i="4"/>
  <c r="AP170" i="4"/>
  <c r="AI171" i="4"/>
  <c r="AJ171" i="4"/>
  <c r="AK171" i="4"/>
  <c r="AL171" i="4"/>
  <c r="AM171" i="4"/>
  <c r="AN171" i="4"/>
  <c r="AO171" i="4"/>
  <c r="AP171" i="4"/>
  <c r="AI172" i="4"/>
  <c r="AJ172" i="4"/>
  <c r="AK172" i="4"/>
  <c r="AL172" i="4"/>
  <c r="AM172" i="4"/>
  <c r="AN172" i="4"/>
  <c r="AO172" i="4"/>
  <c r="AP172" i="4"/>
  <c r="AI173" i="4"/>
  <c r="AJ173" i="4"/>
  <c r="AK173" i="4"/>
  <c r="AL173" i="4"/>
  <c r="AM173" i="4"/>
  <c r="AN173" i="4"/>
  <c r="AO173" i="4"/>
  <c r="AP173" i="4"/>
  <c r="AI174" i="4"/>
  <c r="AJ174" i="4"/>
  <c r="AK174" i="4"/>
  <c r="AL174" i="4"/>
  <c r="AM174" i="4"/>
  <c r="AN174" i="4"/>
  <c r="AO174" i="4"/>
  <c r="AP174" i="4"/>
  <c r="AI175" i="4"/>
  <c r="AJ175" i="4"/>
  <c r="AK175" i="4"/>
  <c r="AL175" i="4"/>
  <c r="AM175" i="4"/>
  <c r="AN175" i="4"/>
  <c r="AO175" i="4"/>
  <c r="AP175" i="4"/>
  <c r="AI176" i="4"/>
  <c r="AJ176" i="4"/>
  <c r="AK176" i="4"/>
  <c r="AL176" i="4"/>
  <c r="AM176" i="4"/>
  <c r="AN176" i="4"/>
  <c r="AO176" i="4"/>
  <c r="AP176" i="4"/>
  <c r="AI177" i="4"/>
  <c r="AJ177" i="4"/>
  <c r="AK177" i="4"/>
  <c r="AL177" i="4"/>
  <c r="AM177" i="4"/>
  <c r="AN177" i="4"/>
  <c r="AO177" i="4"/>
  <c r="AP177" i="4"/>
  <c r="AI178" i="4"/>
  <c r="AJ178" i="4"/>
  <c r="AK178" i="4"/>
  <c r="AL178" i="4"/>
  <c r="AM178" i="4"/>
  <c r="AN178" i="4"/>
  <c r="AO178" i="4"/>
  <c r="AP178" i="4"/>
  <c r="AI179" i="4"/>
  <c r="AJ179" i="4"/>
  <c r="AK179" i="4"/>
  <c r="AL179" i="4"/>
  <c r="AM179" i="4"/>
  <c r="AN179" i="4"/>
  <c r="AO179" i="4"/>
  <c r="AP179" i="4"/>
  <c r="AI180" i="4"/>
  <c r="AJ180" i="4"/>
  <c r="AK180" i="4"/>
  <c r="AL180" i="4"/>
  <c r="AM180" i="4"/>
  <c r="AN180" i="4"/>
  <c r="AO180" i="4"/>
  <c r="AP180" i="4"/>
  <c r="AI181" i="4"/>
  <c r="AJ181" i="4"/>
  <c r="AK181" i="4"/>
  <c r="AL181" i="4"/>
  <c r="AM181" i="4"/>
  <c r="AN181" i="4"/>
  <c r="AO181" i="4"/>
  <c r="AP181" i="4"/>
  <c r="AI182" i="4"/>
  <c r="AJ182" i="4"/>
  <c r="AK182" i="4"/>
  <c r="AL182" i="4"/>
  <c r="AM182" i="4"/>
  <c r="AN182" i="4"/>
  <c r="AO182" i="4"/>
  <c r="AP182" i="4"/>
  <c r="AI183" i="4"/>
  <c r="AJ183" i="4"/>
  <c r="AK183" i="4"/>
  <c r="AL183" i="4"/>
  <c r="AM183" i="4"/>
  <c r="AN183" i="4"/>
  <c r="AO183" i="4"/>
  <c r="AP183" i="4"/>
  <c r="AI184" i="4"/>
  <c r="AJ184" i="4"/>
  <c r="AK184" i="4"/>
  <c r="AL184" i="4"/>
  <c r="AM184" i="4"/>
  <c r="AN184" i="4"/>
  <c r="AO184" i="4"/>
  <c r="AP184" i="4"/>
  <c r="AI185" i="4"/>
  <c r="AJ185" i="4"/>
  <c r="AK185" i="4"/>
  <c r="AL185" i="4"/>
  <c r="AM185" i="4"/>
  <c r="AN185" i="4"/>
  <c r="AO185" i="4"/>
  <c r="AP185" i="4"/>
  <c r="AI186" i="4"/>
  <c r="AJ186" i="4"/>
  <c r="AK186" i="4"/>
  <c r="AL186" i="4"/>
  <c r="AM186" i="4"/>
  <c r="AN186" i="4"/>
  <c r="AO186" i="4"/>
  <c r="AP186" i="4"/>
  <c r="AI187" i="4"/>
  <c r="AJ187" i="4"/>
  <c r="AK187" i="4"/>
  <c r="AL187" i="4"/>
  <c r="AM187" i="4"/>
  <c r="AN187" i="4"/>
  <c r="AO187" i="4"/>
  <c r="AP187" i="4"/>
  <c r="AI188" i="4"/>
  <c r="AJ188" i="4"/>
  <c r="AK188" i="4"/>
  <c r="AL188" i="4"/>
  <c r="AM188" i="4"/>
  <c r="AN188" i="4"/>
  <c r="AO188" i="4"/>
  <c r="AP188" i="4"/>
  <c r="AI189" i="4"/>
  <c r="AJ189" i="4"/>
  <c r="AK189" i="4"/>
  <c r="AL189" i="4"/>
  <c r="AM189" i="4"/>
  <c r="AN189" i="4"/>
  <c r="AO189" i="4"/>
  <c r="AP189" i="4"/>
  <c r="AI190" i="4"/>
  <c r="AJ190" i="4"/>
  <c r="AK190" i="4"/>
  <c r="AL190" i="4"/>
  <c r="AM190" i="4"/>
  <c r="AN190" i="4"/>
  <c r="AO190" i="4"/>
  <c r="AP190" i="4"/>
  <c r="AI191" i="4"/>
  <c r="AJ191" i="4"/>
  <c r="AK191" i="4"/>
  <c r="AL191" i="4"/>
  <c r="AM191" i="4"/>
  <c r="AN191" i="4"/>
  <c r="AO191" i="4"/>
  <c r="AP191" i="4"/>
  <c r="AI192" i="4"/>
  <c r="AJ192" i="4"/>
  <c r="AK192" i="4"/>
  <c r="AL192" i="4"/>
  <c r="AM192" i="4"/>
  <c r="AN192" i="4"/>
  <c r="AO192" i="4"/>
  <c r="AP192" i="4"/>
  <c r="AI193" i="4"/>
  <c r="AJ193" i="4"/>
  <c r="AK193" i="4"/>
  <c r="AL193" i="4"/>
  <c r="AM193" i="4"/>
  <c r="AN193" i="4"/>
  <c r="AO193" i="4"/>
  <c r="AP193" i="4"/>
  <c r="AI194" i="4"/>
  <c r="AJ194" i="4"/>
  <c r="AK194" i="4"/>
  <c r="AL194" i="4"/>
  <c r="AM194" i="4"/>
  <c r="AN194" i="4"/>
  <c r="AO194" i="4"/>
  <c r="AP194" i="4"/>
  <c r="AI195" i="4"/>
  <c r="AJ195" i="4"/>
  <c r="AK195" i="4"/>
  <c r="AL195" i="4"/>
  <c r="AM195" i="4"/>
  <c r="AN195" i="4"/>
  <c r="AO195" i="4"/>
  <c r="AP195" i="4"/>
  <c r="AI196" i="4"/>
  <c r="AJ196" i="4"/>
  <c r="AK196" i="4"/>
  <c r="AL196" i="4"/>
  <c r="AM196" i="4"/>
  <c r="AN196" i="4"/>
  <c r="AO196" i="4"/>
  <c r="AP196" i="4"/>
  <c r="AI197" i="4"/>
  <c r="AJ197" i="4"/>
  <c r="AK197" i="4"/>
  <c r="AL197" i="4"/>
  <c r="AM197" i="4"/>
  <c r="AN197" i="4"/>
  <c r="AO197" i="4"/>
  <c r="AP197" i="4"/>
  <c r="AI198" i="4"/>
  <c r="AJ198" i="4"/>
  <c r="AK198" i="4"/>
  <c r="AL198" i="4"/>
  <c r="AM198" i="4"/>
  <c r="AN198" i="4"/>
  <c r="AO198" i="4"/>
  <c r="AP198" i="4"/>
  <c r="AI199" i="4"/>
  <c r="AJ199" i="4"/>
  <c r="AK199" i="4"/>
  <c r="AL199" i="4"/>
  <c r="AM199" i="4"/>
  <c r="AN199" i="4"/>
  <c r="AO199" i="4"/>
  <c r="AP199" i="4"/>
  <c r="AI200" i="4"/>
  <c r="AJ200" i="4"/>
  <c r="AK200" i="4"/>
  <c r="AL200" i="4"/>
  <c r="AM200" i="4"/>
  <c r="AN200" i="4"/>
  <c r="AO200" i="4"/>
  <c r="AP200" i="4"/>
  <c r="AI201" i="4"/>
  <c r="AJ201" i="4"/>
  <c r="AK201" i="4"/>
  <c r="AL201" i="4"/>
  <c r="AM201" i="4"/>
  <c r="AN201" i="4"/>
  <c r="AO201" i="4"/>
  <c r="AP201" i="4"/>
  <c r="AI202" i="4"/>
  <c r="AJ202" i="4"/>
  <c r="AK202" i="4"/>
  <c r="AL202" i="4"/>
  <c r="AM202" i="4"/>
  <c r="AN202" i="4"/>
  <c r="AO202" i="4"/>
  <c r="AP202" i="4"/>
  <c r="AI203" i="4"/>
  <c r="AJ203" i="4"/>
  <c r="AK203" i="4"/>
  <c r="AL203" i="4"/>
  <c r="AM203" i="4"/>
  <c r="AN203" i="4"/>
  <c r="AO203" i="4"/>
  <c r="AP203" i="4"/>
  <c r="AI204" i="4"/>
  <c r="AJ204" i="4"/>
  <c r="AK204" i="4"/>
  <c r="AL204" i="4"/>
  <c r="AM204" i="4"/>
  <c r="AN204" i="4"/>
  <c r="AO204" i="4"/>
  <c r="AP204" i="4"/>
  <c r="AI205" i="4"/>
  <c r="AJ205" i="4"/>
  <c r="AK205" i="4"/>
  <c r="AL205" i="4"/>
  <c r="AM205" i="4"/>
  <c r="AN205" i="4"/>
  <c r="AO205" i="4"/>
  <c r="AP205" i="4"/>
  <c r="AI206" i="4"/>
  <c r="AJ206" i="4"/>
  <c r="AK206" i="4"/>
  <c r="AL206" i="4"/>
  <c r="AM206" i="4"/>
  <c r="AN206" i="4"/>
  <c r="AO206" i="4"/>
  <c r="AP206" i="4"/>
  <c r="AI207" i="4"/>
  <c r="AJ207" i="4"/>
  <c r="AK207" i="4"/>
  <c r="AL207" i="4"/>
  <c r="AM207" i="4"/>
  <c r="AN207" i="4"/>
  <c r="AO207" i="4"/>
  <c r="AP207" i="4"/>
  <c r="AI208" i="4"/>
  <c r="AJ208" i="4"/>
  <c r="AK208" i="4"/>
  <c r="AL208" i="4"/>
  <c r="AM208" i="4"/>
  <c r="AN208" i="4"/>
  <c r="AO208" i="4"/>
  <c r="AP208" i="4"/>
  <c r="AI209" i="4"/>
  <c r="AJ209" i="4"/>
  <c r="AK209" i="4"/>
  <c r="AL209" i="4"/>
  <c r="AM209" i="4"/>
  <c r="AN209" i="4"/>
  <c r="AO209" i="4"/>
  <c r="AP209" i="4"/>
  <c r="AI210" i="4"/>
  <c r="AJ210" i="4"/>
  <c r="AK210" i="4"/>
  <c r="AL210" i="4"/>
  <c r="AM210" i="4"/>
  <c r="AN210" i="4"/>
  <c r="AO210" i="4"/>
  <c r="AP210" i="4"/>
  <c r="AI211" i="4"/>
  <c r="AJ211" i="4"/>
  <c r="AK211" i="4"/>
  <c r="AL211" i="4"/>
  <c r="AM211" i="4"/>
  <c r="AN211" i="4"/>
  <c r="AO211" i="4"/>
  <c r="AP211" i="4"/>
  <c r="AI212" i="4"/>
  <c r="AJ212" i="4"/>
  <c r="AK212" i="4"/>
  <c r="AL212" i="4"/>
  <c r="AM212" i="4"/>
  <c r="AN212" i="4"/>
  <c r="AO212" i="4"/>
  <c r="AP212" i="4"/>
  <c r="AI213" i="4"/>
  <c r="AJ213" i="4"/>
  <c r="AK213" i="4"/>
  <c r="AL213" i="4"/>
  <c r="AM213" i="4"/>
  <c r="AN213" i="4"/>
  <c r="AO213" i="4"/>
  <c r="AP213" i="4"/>
  <c r="AI214" i="4"/>
  <c r="AJ214" i="4"/>
  <c r="AK214" i="4"/>
  <c r="AL214" i="4"/>
  <c r="AM214" i="4"/>
  <c r="AN214" i="4"/>
  <c r="AO214" i="4"/>
  <c r="AP214" i="4"/>
  <c r="AI215" i="4"/>
  <c r="AJ215" i="4"/>
  <c r="AK215" i="4"/>
  <c r="AL215" i="4"/>
  <c r="AM215" i="4"/>
  <c r="AN215" i="4"/>
  <c r="AO215" i="4"/>
  <c r="AP215" i="4"/>
  <c r="AI216" i="4"/>
  <c r="AJ216" i="4"/>
  <c r="AK216" i="4"/>
  <c r="AL216" i="4"/>
  <c r="AM216" i="4"/>
  <c r="AN216" i="4"/>
  <c r="AO216" i="4"/>
  <c r="AP216" i="4"/>
  <c r="AI217" i="4"/>
  <c r="AJ217" i="4"/>
  <c r="AK217" i="4"/>
  <c r="AL217" i="4"/>
  <c r="AM217" i="4"/>
  <c r="AN217" i="4"/>
  <c r="AO217" i="4"/>
  <c r="AP217" i="4"/>
  <c r="AI218" i="4"/>
  <c r="AJ218" i="4"/>
  <c r="AK218" i="4"/>
  <c r="AL218" i="4"/>
  <c r="AM218" i="4"/>
  <c r="AN218" i="4"/>
  <c r="AO218" i="4"/>
  <c r="AP218" i="4"/>
  <c r="AI219" i="4"/>
  <c r="AJ219" i="4"/>
  <c r="AK219" i="4"/>
  <c r="AL219" i="4"/>
  <c r="AM219" i="4"/>
  <c r="AN219" i="4"/>
  <c r="AO219" i="4"/>
  <c r="AP219" i="4"/>
  <c r="AI220" i="4"/>
  <c r="AJ220" i="4"/>
  <c r="AK220" i="4"/>
  <c r="AL220" i="4"/>
  <c r="AM220" i="4"/>
  <c r="AN220" i="4"/>
  <c r="AO220" i="4"/>
  <c r="AP220" i="4"/>
  <c r="AI221" i="4"/>
  <c r="AJ221" i="4"/>
  <c r="AK221" i="4"/>
  <c r="AL221" i="4"/>
  <c r="AM221" i="4"/>
  <c r="AN221" i="4"/>
  <c r="AO221" i="4"/>
  <c r="AP221" i="4"/>
  <c r="AI222" i="4"/>
  <c r="AJ222" i="4"/>
  <c r="AK222" i="4"/>
  <c r="AL222" i="4"/>
  <c r="AM222" i="4"/>
  <c r="AN222" i="4"/>
  <c r="AO222" i="4"/>
  <c r="AP222" i="4"/>
  <c r="AI223" i="4"/>
  <c r="AJ223" i="4"/>
  <c r="AK223" i="4"/>
  <c r="AL223" i="4"/>
  <c r="AM223" i="4"/>
  <c r="AN223" i="4"/>
  <c r="AO223" i="4"/>
  <c r="AP223" i="4"/>
  <c r="AI224" i="4"/>
  <c r="AJ224" i="4"/>
  <c r="AK224" i="4"/>
  <c r="AL224" i="4"/>
  <c r="AM224" i="4"/>
  <c r="AN224" i="4"/>
  <c r="AO224" i="4"/>
  <c r="AP224" i="4"/>
  <c r="AI225" i="4"/>
  <c r="AJ225" i="4"/>
  <c r="AK225" i="4"/>
  <c r="AL225" i="4"/>
  <c r="AM225" i="4"/>
  <c r="AN225" i="4"/>
  <c r="AO225" i="4"/>
  <c r="AP225" i="4"/>
  <c r="AI226" i="4"/>
  <c r="AJ226" i="4"/>
  <c r="AK226" i="4"/>
  <c r="AL226" i="4"/>
  <c r="AM226" i="4"/>
  <c r="AN226" i="4"/>
  <c r="AO226" i="4"/>
  <c r="AP226" i="4"/>
  <c r="AI227" i="4"/>
  <c r="AJ227" i="4"/>
  <c r="AK227" i="4"/>
  <c r="AL227" i="4"/>
  <c r="AM227" i="4"/>
  <c r="AN227" i="4"/>
  <c r="AO227" i="4"/>
  <c r="AP227" i="4"/>
  <c r="AI228" i="4"/>
  <c r="AJ228" i="4"/>
  <c r="AK228" i="4"/>
  <c r="AL228" i="4"/>
  <c r="AM228" i="4"/>
  <c r="AN228" i="4"/>
  <c r="AO228" i="4"/>
  <c r="AP228" i="4"/>
  <c r="AI229" i="4"/>
  <c r="AJ229" i="4"/>
  <c r="AK229" i="4"/>
  <c r="AL229" i="4"/>
  <c r="AM229" i="4"/>
  <c r="AN229" i="4"/>
  <c r="AO229" i="4"/>
  <c r="AP229" i="4"/>
  <c r="AI230" i="4"/>
  <c r="AJ230" i="4"/>
  <c r="AK230" i="4"/>
  <c r="AL230" i="4"/>
  <c r="AM230" i="4"/>
  <c r="AN230" i="4"/>
  <c r="AO230" i="4"/>
  <c r="AP230" i="4"/>
  <c r="AI231" i="4"/>
  <c r="AJ231" i="4"/>
  <c r="AK231" i="4"/>
  <c r="AL231" i="4"/>
  <c r="AM231" i="4"/>
  <c r="AN231" i="4"/>
  <c r="AO231" i="4"/>
  <c r="AP231" i="4"/>
  <c r="AI232" i="4"/>
  <c r="AJ232" i="4"/>
  <c r="AK232" i="4"/>
  <c r="AL232" i="4"/>
  <c r="AM232" i="4"/>
  <c r="AN232" i="4"/>
  <c r="AO232" i="4"/>
  <c r="AP232" i="4"/>
  <c r="AI233" i="4"/>
  <c r="AJ233" i="4"/>
  <c r="AK233" i="4"/>
  <c r="AL233" i="4"/>
  <c r="AM233" i="4"/>
  <c r="AN233" i="4"/>
  <c r="AO233" i="4"/>
  <c r="AP233" i="4"/>
  <c r="AI234" i="4"/>
  <c r="AJ234" i="4"/>
  <c r="AK234" i="4"/>
  <c r="AL234" i="4"/>
  <c r="AM234" i="4"/>
  <c r="AN234" i="4"/>
  <c r="AO234" i="4"/>
  <c r="AP234" i="4"/>
  <c r="AI235" i="4"/>
  <c r="AJ235" i="4"/>
  <c r="AK235" i="4"/>
  <c r="AL235" i="4"/>
  <c r="AM235" i="4"/>
  <c r="AN235" i="4"/>
  <c r="AO235" i="4"/>
  <c r="AP235" i="4"/>
  <c r="AI236" i="4"/>
  <c r="AJ236" i="4"/>
  <c r="AK236" i="4"/>
  <c r="AL236" i="4"/>
  <c r="AM236" i="4"/>
  <c r="AN236" i="4"/>
  <c r="AO236" i="4"/>
  <c r="AP236" i="4"/>
  <c r="AI237" i="4"/>
  <c r="AJ237" i="4"/>
  <c r="AK237" i="4"/>
  <c r="AL237" i="4"/>
  <c r="AM237" i="4"/>
  <c r="AN237" i="4"/>
  <c r="AO237" i="4"/>
  <c r="AP237" i="4"/>
  <c r="AI238" i="4"/>
  <c r="AJ238" i="4"/>
  <c r="AK238" i="4"/>
  <c r="AL238" i="4"/>
  <c r="AM238" i="4"/>
  <c r="AN238" i="4"/>
  <c r="AO238" i="4"/>
  <c r="AP238" i="4"/>
  <c r="AI239" i="4"/>
  <c r="AJ239" i="4"/>
  <c r="AK239" i="4"/>
  <c r="AL239" i="4"/>
  <c r="AM239" i="4"/>
  <c r="AN239" i="4"/>
  <c r="AO239" i="4"/>
  <c r="AP239" i="4"/>
  <c r="AI240" i="4"/>
  <c r="AJ240" i="4"/>
  <c r="AK240" i="4"/>
  <c r="AL240" i="4"/>
  <c r="AM240" i="4"/>
  <c r="AN240" i="4"/>
  <c r="AO240" i="4"/>
  <c r="AP240" i="4"/>
  <c r="AI241" i="4"/>
  <c r="AJ241" i="4"/>
  <c r="AK241" i="4"/>
  <c r="AL241" i="4"/>
  <c r="AM241" i="4"/>
  <c r="AN241" i="4"/>
  <c r="AO241" i="4"/>
  <c r="AP241" i="4"/>
  <c r="AI242" i="4"/>
  <c r="AJ242" i="4"/>
  <c r="AK242" i="4"/>
  <c r="AL242" i="4"/>
  <c r="AM242" i="4"/>
  <c r="AN242" i="4"/>
  <c r="AO242" i="4"/>
  <c r="AP242" i="4"/>
  <c r="AI243" i="4"/>
  <c r="AJ243" i="4"/>
  <c r="AK243" i="4"/>
  <c r="AL243" i="4"/>
  <c r="AM243" i="4"/>
  <c r="AN243" i="4"/>
  <c r="AO243" i="4"/>
  <c r="AP243" i="4"/>
  <c r="AI244" i="4"/>
  <c r="AJ244" i="4"/>
  <c r="AK244" i="4"/>
  <c r="AL244" i="4"/>
  <c r="AM244" i="4"/>
  <c r="AN244" i="4"/>
  <c r="AO244" i="4"/>
  <c r="AP244" i="4"/>
  <c r="AI245" i="4"/>
  <c r="AJ245" i="4"/>
  <c r="AK245" i="4"/>
  <c r="AL245" i="4"/>
  <c r="AM245" i="4"/>
  <c r="AN245" i="4"/>
  <c r="AO245" i="4"/>
  <c r="AP245" i="4"/>
  <c r="AI246" i="4"/>
  <c r="AJ246" i="4"/>
  <c r="AK246" i="4"/>
  <c r="AL246" i="4"/>
  <c r="AM246" i="4"/>
  <c r="AN246" i="4"/>
  <c r="AO246" i="4"/>
  <c r="AP246" i="4"/>
  <c r="AI247" i="4"/>
  <c r="AJ247" i="4"/>
  <c r="AK247" i="4"/>
  <c r="AL247" i="4"/>
  <c r="AM247" i="4"/>
  <c r="AN247" i="4"/>
  <c r="AO247" i="4"/>
  <c r="AP247" i="4"/>
  <c r="AI248" i="4"/>
  <c r="AJ248" i="4"/>
  <c r="AK248" i="4"/>
  <c r="AL248" i="4"/>
  <c r="AM248" i="4"/>
  <c r="AN248" i="4"/>
  <c r="AO248" i="4"/>
  <c r="AP248" i="4"/>
  <c r="AI249" i="4"/>
  <c r="AJ249" i="4"/>
  <c r="AK249" i="4"/>
  <c r="AL249" i="4"/>
  <c r="AM249" i="4"/>
  <c r="AN249" i="4"/>
  <c r="AO249" i="4"/>
  <c r="AP249" i="4"/>
  <c r="AI250" i="4"/>
  <c r="AJ250" i="4"/>
  <c r="AK250" i="4"/>
  <c r="AL250" i="4"/>
  <c r="AM250" i="4"/>
  <c r="AN250" i="4"/>
  <c r="AO250" i="4"/>
  <c r="AP250" i="4"/>
  <c r="AI251" i="4"/>
  <c r="AJ251" i="4"/>
  <c r="AK251" i="4"/>
  <c r="AL251" i="4"/>
  <c r="AM251" i="4"/>
  <c r="AN251" i="4"/>
  <c r="AO251" i="4"/>
  <c r="AP251" i="4"/>
  <c r="AI252" i="4"/>
  <c r="AJ252" i="4"/>
  <c r="AK252" i="4"/>
  <c r="AL252" i="4"/>
  <c r="AM252" i="4"/>
  <c r="AN252" i="4"/>
  <c r="AO252" i="4"/>
  <c r="AP252" i="4"/>
  <c r="AI253" i="4"/>
  <c r="AJ253" i="4"/>
  <c r="AK253" i="4"/>
  <c r="AL253" i="4"/>
  <c r="AM253" i="4"/>
  <c r="AN253" i="4"/>
  <c r="AO253" i="4"/>
  <c r="AP253" i="4"/>
  <c r="AI254" i="4"/>
  <c r="AJ254" i="4"/>
  <c r="AK254" i="4"/>
  <c r="AL254" i="4"/>
  <c r="AM254" i="4"/>
  <c r="AN254" i="4"/>
  <c r="AO254" i="4"/>
  <c r="AP254" i="4"/>
  <c r="AI255" i="4"/>
  <c r="AJ255" i="4"/>
  <c r="AK255" i="4"/>
  <c r="AL255" i="4"/>
  <c r="AM255" i="4"/>
  <c r="AN255" i="4"/>
  <c r="AO255" i="4"/>
  <c r="AP255" i="4"/>
  <c r="AI256" i="4"/>
  <c r="AJ256" i="4"/>
  <c r="AK256" i="4"/>
  <c r="AL256" i="4"/>
  <c r="AM256" i="4"/>
  <c r="AN256" i="4"/>
  <c r="AO256" i="4"/>
  <c r="AP256" i="4"/>
  <c r="AI257" i="4"/>
  <c r="AJ257" i="4"/>
  <c r="AK257" i="4"/>
  <c r="AL257" i="4"/>
  <c r="AM257" i="4"/>
  <c r="AN257" i="4"/>
  <c r="AO257" i="4"/>
  <c r="AP257" i="4"/>
  <c r="AI258" i="4"/>
  <c r="AJ258" i="4"/>
  <c r="AK258" i="4"/>
  <c r="AL258" i="4"/>
  <c r="AM258" i="4"/>
  <c r="AN258" i="4"/>
  <c r="AO258" i="4"/>
  <c r="AP258" i="4"/>
  <c r="AI259" i="4"/>
  <c r="AJ259" i="4"/>
  <c r="AK259" i="4"/>
  <c r="AL259" i="4"/>
  <c r="AM259" i="4"/>
  <c r="AN259" i="4"/>
  <c r="AO259" i="4"/>
  <c r="AP259" i="4"/>
  <c r="AI260" i="4"/>
  <c r="AJ260" i="4"/>
  <c r="AK260" i="4"/>
  <c r="AL260" i="4"/>
  <c r="AM260" i="4"/>
  <c r="AN260" i="4"/>
  <c r="AO260" i="4"/>
  <c r="AP260" i="4"/>
  <c r="AI261" i="4"/>
  <c r="AJ261" i="4"/>
  <c r="AK261" i="4"/>
  <c r="AL261" i="4"/>
  <c r="AM261" i="4"/>
  <c r="AN261" i="4"/>
  <c r="AO261" i="4"/>
  <c r="AP261" i="4"/>
  <c r="AI262" i="4"/>
  <c r="AJ262" i="4"/>
  <c r="AK262" i="4"/>
  <c r="AL262" i="4"/>
  <c r="AM262" i="4"/>
  <c r="AN262" i="4"/>
  <c r="AO262" i="4"/>
  <c r="AP262" i="4"/>
  <c r="AI263" i="4"/>
  <c r="AJ263" i="4"/>
  <c r="AK263" i="4"/>
  <c r="AL263" i="4"/>
  <c r="AM263" i="4"/>
  <c r="AN263" i="4"/>
  <c r="AO263" i="4"/>
  <c r="AP263" i="4"/>
  <c r="AI264" i="4"/>
  <c r="AJ264" i="4"/>
  <c r="AK264" i="4"/>
  <c r="AL264" i="4"/>
  <c r="AM264" i="4"/>
  <c r="AN264" i="4"/>
  <c r="AO264" i="4"/>
  <c r="AP264" i="4"/>
  <c r="AI265" i="4"/>
  <c r="AJ265" i="4"/>
  <c r="AK265" i="4"/>
  <c r="AL265" i="4"/>
  <c r="AM265" i="4"/>
  <c r="AN265" i="4"/>
  <c r="AO265" i="4"/>
  <c r="AP265" i="4"/>
  <c r="AI266" i="4"/>
  <c r="AJ266" i="4"/>
  <c r="AK266" i="4"/>
  <c r="AL266" i="4"/>
  <c r="AM266" i="4"/>
  <c r="AN266" i="4"/>
  <c r="AO266" i="4"/>
  <c r="AP266" i="4"/>
  <c r="AI267" i="4"/>
  <c r="AJ267" i="4"/>
  <c r="AK267" i="4"/>
  <c r="AL267" i="4"/>
  <c r="AM267" i="4"/>
  <c r="AN267" i="4"/>
  <c r="AO267" i="4"/>
  <c r="AP267" i="4"/>
  <c r="AI268" i="4"/>
  <c r="AJ268" i="4"/>
  <c r="AK268" i="4"/>
  <c r="AL268" i="4"/>
  <c r="AM268" i="4"/>
  <c r="AN268" i="4"/>
  <c r="AO268" i="4"/>
  <c r="AP268" i="4"/>
  <c r="AI269" i="4"/>
  <c r="AJ269" i="4"/>
  <c r="AK269" i="4"/>
  <c r="AL269" i="4"/>
  <c r="AM269" i="4"/>
  <c r="AN269" i="4"/>
  <c r="AO269" i="4"/>
  <c r="AP269" i="4"/>
  <c r="AI270" i="4"/>
  <c r="AJ270" i="4"/>
  <c r="AK270" i="4"/>
  <c r="AL270" i="4"/>
  <c r="AM270" i="4"/>
  <c r="AN270" i="4"/>
  <c r="AO270" i="4"/>
  <c r="AP270" i="4"/>
  <c r="AI271" i="4"/>
  <c r="AJ271" i="4"/>
  <c r="AK271" i="4"/>
  <c r="AL271" i="4"/>
  <c r="AM271" i="4"/>
  <c r="AN271" i="4"/>
  <c r="AO271" i="4"/>
  <c r="AP271" i="4"/>
  <c r="AI272" i="4"/>
  <c r="AJ272" i="4"/>
  <c r="AK272" i="4"/>
  <c r="AL272" i="4"/>
  <c r="AM272" i="4"/>
  <c r="AN272" i="4"/>
  <c r="AO272" i="4"/>
  <c r="AP272" i="4"/>
  <c r="AI273" i="4"/>
  <c r="AJ273" i="4"/>
  <c r="AK273" i="4"/>
  <c r="AL273" i="4"/>
  <c r="AM273" i="4"/>
  <c r="AN273" i="4"/>
  <c r="AO273" i="4"/>
  <c r="AP273" i="4"/>
  <c r="AI274" i="4"/>
  <c r="AJ274" i="4"/>
  <c r="AK274" i="4"/>
  <c r="AL274" i="4"/>
  <c r="AM274" i="4"/>
  <c r="AN274" i="4"/>
  <c r="AO274" i="4"/>
  <c r="AP274" i="4"/>
  <c r="AI275" i="4"/>
  <c r="AJ275" i="4"/>
  <c r="AK275" i="4"/>
  <c r="AL275" i="4"/>
  <c r="AM275" i="4"/>
  <c r="AN275" i="4"/>
  <c r="AO275" i="4"/>
  <c r="AP275" i="4"/>
  <c r="AI276" i="4"/>
  <c r="AJ276" i="4"/>
  <c r="AK276" i="4"/>
  <c r="AL276" i="4"/>
  <c r="AM276" i="4"/>
  <c r="AN276" i="4"/>
  <c r="AO276" i="4"/>
  <c r="AP276" i="4"/>
  <c r="AI277" i="4"/>
  <c r="AJ277" i="4"/>
  <c r="AK277" i="4"/>
  <c r="AL277" i="4"/>
  <c r="AM277" i="4"/>
  <c r="AN277" i="4"/>
  <c r="AO277" i="4"/>
  <c r="AP277" i="4"/>
  <c r="AI278" i="4"/>
  <c r="AJ278" i="4"/>
  <c r="AK278" i="4"/>
  <c r="AL278" i="4"/>
  <c r="AM278" i="4"/>
  <c r="AN278" i="4"/>
  <c r="AO278" i="4"/>
  <c r="AP278" i="4"/>
  <c r="AI279" i="4"/>
  <c r="AJ279" i="4"/>
  <c r="AK279" i="4"/>
  <c r="AL279" i="4"/>
  <c r="AM279" i="4"/>
  <c r="AN279" i="4"/>
  <c r="AO279" i="4"/>
  <c r="AP279" i="4"/>
  <c r="AI280" i="4"/>
  <c r="AJ280" i="4"/>
  <c r="AK280" i="4"/>
  <c r="AL280" i="4"/>
  <c r="AM280" i="4"/>
  <c r="AN280" i="4"/>
  <c r="AO280" i="4"/>
  <c r="AP280" i="4"/>
  <c r="AI281" i="4"/>
  <c r="AJ281" i="4"/>
  <c r="AK281" i="4"/>
  <c r="AL281" i="4"/>
  <c r="AM281" i="4"/>
  <c r="AN281" i="4"/>
  <c r="AO281" i="4"/>
  <c r="AP281" i="4"/>
  <c r="AI282" i="4"/>
  <c r="AJ282" i="4"/>
  <c r="AK282" i="4"/>
  <c r="AL282" i="4"/>
  <c r="AM282" i="4"/>
  <c r="AN282" i="4"/>
  <c r="AO282" i="4"/>
  <c r="AP282" i="4"/>
  <c r="AI283" i="4"/>
  <c r="AJ283" i="4"/>
  <c r="AK283" i="4"/>
  <c r="AL283" i="4"/>
  <c r="AM283" i="4"/>
  <c r="AN283" i="4"/>
  <c r="AO283" i="4"/>
  <c r="AP283" i="4"/>
  <c r="AI284" i="4"/>
  <c r="AJ284" i="4"/>
  <c r="AK284" i="4"/>
  <c r="AL284" i="4"/>
  <c r="AM284" i="4"/>
  <c r="AN284" i="4"/>
  <c r="AO284" i="4"/>
  <c r="AP284" i="4"/>
  <c r="AI285" i="4"/>
  <c r="AJ285" i="4"/>
  <c r="AK285" i="4"/>
  <c r="AL285" i="4"/>
  <c r="AM285" i="4"/>
  <c r="AN285" i="4"/>
  <c r="AO285" i="4"/>
  <c r="AP285" i="4"/>
  <c r="AI286" i="4"/>
  <c r="AJ286" i="4"/>
  <c r="AK286" i="4"/>
  <c r="AL286" i="4"/>
  <c r="AM286" i="4"/>
  <c r="AN286" i="4"/>
  <c r="AO286" i="4"/>
  <c r="AP286" i="4"/>
  <c r="AI287" i="4"/>
  <c r="AJ287" i="4"/>
  <c r="AK287" i="4"/>
  <c r="AL287" i="4"/>
  <c r="AM287" i="4"/>
  <c r="AN287" i="4"/>
  <c r="AO287" i="4"/>
  <c r="AP287" i="4"/>
  <c r="AI288" i="4"/>
  <c r="AJ288" i="4"/>
  <c r="AK288" i="4"/>
  <c r="AL288" i="4"/>
  <c r="AM288" i="4"/>
  <c r="AN288" i="4"/>
  <c r="AO288" i="4"/>
  <c r="AP288" i="4"/>
  <c r="AI289" i="4"/>
  <c r="AJ289" i="4"/>
  <c r="AK289" i="4"/>
  <c r="AL289" i="4"/>
  <c r="AM289" i="4"/>
  <c r="AN289" i="4"/>
  <c r="AO289" i="4"/>
  <c r="AP289" i="4"/>
  <c r="AI290" i="4"/>
  <c r="AJ290" i="4"/>
  <c r="AK290" i="4"/>
  <c r="AL290" i="4"/>
  <c r="AM290" i="4"/>
  <c r="AN290" i="4"/>
  <c r="AO290" i="4"/>
  <c r="AP290" i="4"/>
  <c r="AI291" i="4"/>
  <c r="AJ291" i="4"/>
  <c r="AK291" i="4"/>
  <c r="AL291" i="4"/>
  <c r="AM291" i="4"/>
  <c r="AN291" i="4"/>
  <c r="AO291" i="4"/>
  <c r="AP291" i="4"/>
  <c r="AI292" i="4"/>
  <c r="AJ292" i="4"/>
  <c r="AK292" i="4"/>
  <c r="AL292" i="4"/>
  <c r="AM292" i="4"/>
  <c r="AN292" i="4"/>
  <c r="AO292" i="4"/>
  <c r="AP292" i="4"/>
  <c r="AI293" i="4"/>
  <c r="AJ293" i="4"/>
  <c r="AK293" i="4"/>
  <c r="AL293" i="4"/>
  <c r="AM293" i="4"/>
  <c r="AN293" i="4"/>
  <c r="AO293" i="4"/>
  <c r="AP293" i="4"/>
  <c r="AI294" i="4"/>
  <c r="AJ294" i="4"/>
  <c r="AK294" i="4"/>
  <c r="AL294" i="4"/>
  <c r="AM294" i="4"/>
  <c r="AN294" i="4"/>
  <c r="AO294" i="4"/>
  <c r="AP294" i="4"/>
  <c r="AI295" i="4"/>
  <c r="AJ295" i="4"/>
  <c r="AK295" i="4"/>
  <c r="AL295" i="4"/>
  <c r="AM295" i="4"/>
  <c r="AN295" i="4"/>
  <c r="AO295" i="4"/>
  <c r="AP295" i="4"/>
  <c r="AI296" i="4"/>
  <c r="AJ296" i="4"/>
  <c r="AK296" i="4"/>
  <c r="AL296" i="4"/>
  <c r="AM296" i="4"/>
  <c r="AN296" i="4"/>
  <c r="AO296" i="4"/>
  <c r="AP296" i="4"/>
  <c r="AI297" i="4"/>
  <c r="AJ297" i="4"/>
  <c r="AK297" i="4"/>
  <c r="AL297" i="4"/>
  <c r="AM297" i="4"/>
  <c r="AN297" i="4"/>
  <c r="AO297" i="4"/>
  <c r="AP297" i="4"/>
  <c r="AI298" i="4"/>
  <c r="AJ298" i="4"/>
  <c r="AK298" i="4"/>
  <c r="AL298" i="4"/>
  <c r="AM298" i="4"/>
  <c r="AN298" i="4"/>
  <c r="AO298" i="4"/>
  <c r="AP298" i="4"/>
  <c r="AI299" i="4"/>
  <c r="AJ299" i="4"/>
  <c r="AK299" i="4"/>
  <c r="AL299" i="4"/>
  <c r="AM299" i="4"/>
  <c r="AN299" i="4"/>
  <c r="AO299" i="4"/>
  <c r="AP299" i="4"/>
  <c r="AI300" i="4"/>
  <c r="AJ300" i="4"/>
  <c r="AK300" i="4"/>
  <c r="AL300" i="4"/>
  <c r="AM300" i="4"/>
  <c r="AN300" i="4"/>
  <c r="AO300" i="4"/>
  <c r="AP300" i="4"/>
  <c r="AI301" i="4"/>
  <c r="AJ301" i="4"/>
  <c r="AK301" i="4"/>
  <c r="AL301" i="4"/>
  <c r="AM301" i="4"/>
  <c r="AN301" i="4"/>
  <c r="AO301" i="4"/>
  <c r="AP301" i="4"/>
  <c r="AI302" i="4"/>
  <c r="AJ302" i="4"/>
  <c r="AK302" i="4"/>
  <c r="AL302" i="4"/>
  <c r="AM302" i="4"/>
  <c r="AN302" i="4"/>
  <c r="AO302" i="4"/>
  <c r="AP302" i="4"/>
  <c r="AI303" i="4"/>
  <c r="AJ303" i="4"/>
  <c r="AK303" i="4"/>
  <c r="AL303" i="4"/>
  <c r="AM303" i="4"/>
  <c r="AN303" i="4"/>
  <c r="AO303" i="4"/>
  <c r="AP303" i="4"/>
  <c r="AI304" i="4"/>
  <c r="AJ304" i="4"/>
  <c r="AK304" i="4"/>
  <c r="AL304" i="4"/>
  <c r="AM304" i="4"/>
  <c r="AN304" i="4"/>
  <c r="AO304" i="4"/>
  <c r="AP304" i="4"/>
  <c r="AI305" i="4"/>
  <c r="AJ305" i="4"/>
  <c r="AK305" i="4"/>
  <c r="AL305" i="4"/>
  <c r="AM305" i="4"/>
  <c r="AN305" i="4"/>
  <c r="AO305" i="4"/>
  <c r="AP305" i="4"/>
  <c r="AI306" i="4"/>
  <c r="AJ306" i="4"/>
  <c r="AK306" i="4"/>
  <c r="AL306" i="4"/>
  <c r="AM306" i="4"/>
  <c r="AN306" i="4"/>
  <c r="AO306" i="4"/>
  <c r="AP306" i="4"/>
  <c r="AI307" i="4"/>
  <c r="AJ307" i="4"/>
  <c r="AK307" i="4"/>
  <c r="AL307" i="4"/>
  <c r="AM307" i="4"/>
  <c r="AN307" i="4"/>
  <c r="AO307" i="4"/>
  <c r="AP307" i="4"/>
  <c r="AI308" i="4"/>
  <c r="AJ308" i="4"/>
  <c r="AK308" i="4"/>
  <c r="AL308" i="4"/>
  <c r="AM308" i="4"/>
  <c r="AN308" i="4"/>
  <c r="AO308" i="4"/>
  <c r="AP308" i="4"/>
  <c r="AI309" i="4"/>
  <c r="AJ309" i="4"/>
  <c r="AK309" i="4"/>
  <c r="AL309" i="4"/>
  <c r="AM309" i="4"/>
  <c r="AN309" i="4"/>
  <c r="AO309" i="4"/>
  <c r="AP309" i="4"/>
  <c r="AI310" i="4"/>
  <c r="AJ310" i="4"/>
  <c r="AK310" i="4"/>
  <c r="AL310" i="4"/>
  <c r="AM310" i="4"/>
  <c r="AN310" i="4"/>
  <c r="AO310" i="4"/>
  <c r="AP310" i="4"/>
  <c r="AI311" i="4"/>
  <c r="AJ311" i="4"/>
  <c r="AK311" i="4"/>
  <c r="AL311" i="4"/>
  <c r="AM311" i="4"/>
  <c r="AN311" i="4"/>
  <c r="AO311" i="4"/>
  <c r="AP311" i="4"/>
  <c r="AI312" i="4"/>
  <c r="AJ312" i="4"/>
  <c r="AK312" i="4"/>
  <c r="AL312" i="4"/>
  <c r="AM312" i="4"/>
  <c r="AN312" i="4"/>
  <c r="AO312" i="4"/>
  <c r="AP312" i="4"/>
  <c r="AI313" i="4"/>
  <c r="AJ313" i="4"/>
  <c r="AK313" i="4"/>
  <c r="AL313" i="4"/>
  <c r="AM313" i="4"/>
  <c r="AN313" i="4"/>
  <c r="AO313" i="4"/>
  <c r="AP313" i="4"/>
  <c r="AI314" i="4"/>
  <c r="AJ314" i="4"/>
  <c r="AK314" i="4"/>
  <c r="AL314" i="4"/>
  <c r="AM314" i="4"/>
  <c r="AN314" i="4"/>
  <c r="AO314" i="4"/>
  <c r="AP314" i="4"/>
  <c r="AI315" i="4"/>
  <c r="AJ315" i="4"/>
  <c r="AK315" i="4"/>
  <c r="AL315" i="4"/>
  <c r="AM315" i="4"/>
  <c r="AN315" i="4"/>
  <c r="AO315" i="4"/>
  <c r="AP315" i="4"/>
  <c r="AI316" i="4"/>
  <c r="AJ316" i="4"/>
  <c r="AK316" i="4"/>
  <c r="AL316" i="4"/>
  <c r="AM316" i="4"/>
  <c r="AN316" i="4"/>
  <c r="AO316" i="4"/>
  <c r="AP316" i="4"/>
  <c r="AI317" i="4"/>
  <c r="AJ317" i="4"/>
  <c r="AK317" i="4"/>
  <c r="AL317" i="4"/>
  <c r="AM317" i="4"/>
  <c r="AN317" i="4"/>
  <c r="AO317" i="4"/>
  <c r="AP317" i="4"/>
  <c r="AI318" i="4"/>
  <c r="AJ318" i="4"/>
  <c r="AK318" i="4"/>
  <c r="AL318" i="4"/>
  <c r="AM318" i="4"/>
  <c r="AN318" i="4"/>
  <c r="AO318" i="4"/>
  <c r="AP318" i="4"/>
  <c r="AI319" i="4"/>
  <c r="AJ319" i="4"/>
  <c r="AK319" i="4"/>
  <c r="AL319" i="4"/>
  <c r="AM319" i="4"/>
  <c r="AN319" i="4"/>
  <c r="AO319" i="4"/>
  <c r="AP319" i="4"/>
  <c r="AL3" i="4"/>
  <c r="AP3" i="4"/>
  <c r="AP332" i="4" s="1"/>
  <c r="AP335" i="4" s="1"/>
  <c r="AO3" i="4"/>
  <c r="AN3" i="4"/>
  <c r="AM3" i="4"/>
  <c r="AK3" i="4"/>
  <c r="AJ3" i="4"/>
  <c r="AI3" i="4"/>
  <c r="AI333" i="4" s="1"/>
  <c r="AI336" i="4" s="1"/>
  <c r="X11" i="4"/>
  <c r="AF318" i="4"/>
  <c r="AF307" i="4"/>
  <c r="AF296" i="4"/>
  <c r="AF285" i="4"/>
  <c r="AF274" i="4"/>
  <c r="AF263" i="4"/>
  <c r="AF252" i="4"/>
  <c r="AF241" i="4"/>
  <c r="AF230" i="4"/>
  <c r="AF219" i="4"/>
  <c r="AF208" i="4"/>
  <c r="AF197" i="4"/>
  <c r="AF186" i="4"/>
  <c r="AF176" i="4"/>
  <c r="AF165" i="4"/>
  <c r="AF154" i="4"/>
  <c r="AF143" i="4"/>
  <c r="AF132" i="4"/>
  <c r="AF121" i="4"/>
  <c r="AF110" i="4"/>
  <c r="AF99" i="4"/>
  <c r="AF88" i="4"/>
  <c r="AF78" i="4"/>
  <c r="AF67" i="4"/>
  <c r="AF56" i="4"/>
  <c r="AF45" i="4"/>
  <c r="AF23" i="4"/>
  <c r="M310" i="4"/>
  <c r="X310" i="4" s="1"/>
  <c r="N310" i="4"/>
  <c r="O310" i="4"/>
  <c r="P310" i="4"/>
  <c r="Q310" i="4"/>
  <c r="R310" i="4"/>
  <c r="S310" i="4"/>
  <c r="T310" i="4"/>
  <c r="U310" i="4"/>
  <c r="M311" i="4"/>
  <c r="Z311" i="4" s="1"/>
  <c r="N311" i="4"/>
  <c r="O311" i="4"/>
  <c r="P311" i="4"/>
  <c r="Q311" i="4"/>
  <c r="R311" i="4"/>
  <c r="S311" i="4"/>
  <c r="T311" i="4"/>
  <c r="U311" i="4"/>
  <c r="M312" i="4"/>
  <c r="N312" i="4"/>
  <c r="O312" i="4"/>
  <c r="P312" i="4"/>
  <c r="Q312" i="4"/>
  <c r="R312" i="4"/>
  <c r="S312" i="4"/>
  <c r="T312" i="4"/>
  <c r="U312" i="4"/>
  <c r="M313" i="4"/>
  <c r="N313" i="4"/>
  <c r="O313" i="4"/>
  <c r="P313" i="4"/>
  <c r="Q313" i="4"/>
  <c r="R313" i="4"/>
  <c r="S313" i="4"/>
  <c r="T313" i="4"/>
  <c r="U313" i="4"/>
  <c r="M314" i="4"/>
  <c r="N314" i="4"/>
  <c r="O314" i="4"/>
  <c r="P314" i="4"/>
  <c r="Q314" i="4"/>
  <c r="R314" i="4"/>
  <c r="S314" i="4"/>
  <c r="T314" i="4"/>
  <c r="U314" i="4"/>
  <c r="M315" i="4"/>
  <c r="N315" i="4"/>
  <c r="O315" i="4"/>
  <c r="P315" i="4"/>
  <c r="Q315" i="4"/>
  <c r="R315" i="4"/>
  <c r="S315" i="4"/>
  <c r="T315" i="4"/>
  <c r="U315" i="4"/>
  <c r="M316" i="4"/>
  <c r="N316" i="4"/>
  <c r="O316" i="4"/>
  <c r="P316" i="4"/>
  <c r="Q316" i="4"/>
  <c r="R316" i="4"/>
  <c r="S316" i="4"/>
  <c r="T316" i="4"/>
  <c r="U316" i="4"/>
  <c r="M317" i="4"/>
  <c r="N317" i="4"/>
  <c r="O317" i="4"/>
  <c r="P317" i="4"/>
  <c r="Q317" i="4"/>
  <c r="R317" i="4"/>
  <c r="S317" i="4"/>
  <c r="T317" i="4"/>
  <c r="U317" i="4"/>
  <c r="M318" i="4"/>
  <c r="N318" i="4"/>
  <c r="O318" i="4"/>
  <c r="P318" i="4"/>
  <c r="Q318" i="4"/>
  <c r="R318" i="4"/>
  <c r="S318" i="4"/>
  <c r="T318" i="4"/>
  <c r="U318" i="4"/>
  <c r="X4" i="4"/>
  <c r="Y4" i="4"/>
  <c r="Z4" i="4"/>
  <c r="AA4" i="4"/>
  <c r="AB4" i="4"/>
  <c r="AC4" i="4"/>
  <c r="AD4" i="4"/>
  <c r="AE4" i="4"/>
  <c r="X5" i="4"/>
  <c r="Y5" i="4"/>
  <c r="Z5" i="4"/>
  <c r="AA5" i="4"/>
  <c r="AB5" i="4"/>
  <c r="AC5" i="4"/>
  <c r="AD5" i="4"/>
  <c r="AE5" i="4"/>
  <c r="X6" i="4"/>
  <c r="Y6" i="4"/>
  <c r="Z6" i="4"/>
  <c r="AA6" i="4"/>
  <c r="AB6" i="4"/>
  <c r="AC6" i="4"/>
  <c r="AD6" i="4"/>
  <c r="AE6" i="4"/>
  <c r="X7" i="4"/>
  <c r="Y7" i="4"/>
  <c r="Z7" i="4"/>
  <c r="AA7" i="4"/>
  <c r="AB7" i="4"/>
  <c r="AC7" i="4"/>
  <c r="AD7" i="4"/>
  <c r="AE7" i="4"/>
  <c r="X8" i="4"/>
  <c r="Y8" i="4"/>
  <c r="Z8" i="4"/>
  <c r="AA8" i="4"/>
  <c r="AB8" i="4"/>
  <c r="AC8" i="4"/>
  <c r="AD8" i="4"/>
  <c r="AE8" i="4"/>
  <c r="X9" i="4"/>
  <c r="Y9" i="4"/>
  <c r="Z9" i="4"/>
  <c r="AA9" i="4"/>
  <c r="AB9" i="4"/>
  <c r="AC9" i="4"/>
  <c r="AD9" i="4"/>
  <c r="AE9" i="4"/>
  <c r="X10" i="4"/>
  <c r="Y10" i="4"/>
  <c r="Z10" i="4"/>
  <c r="AA10" i="4"/>
  <c r="AB10" i="4"/>
  <c r="AC10" i="4"/>
  <c r="AD10" i="4"/>
  <c r="AE10" i="4"/>
  <c r="Y11" i="4"/>
  <c r="Z11" i="4"/>
  <c r="AA11" i="4"/>
  <c r="AB11" i="4"/>
  <c r="AC11" i="4"/>
  <c r="AD11" i="4"/>
  <c r="AE11" i="4"/>
  <c r="X12" i="4"/>
  <c r="Y12" i="4"/>
  <c r="Z12" i="4"/>
  <c r="AA12" i="4"/>
  <c r="AB12" i="4"/>
  <c r="AC12" i="4"/>
  <c r="AD12" i="4"/>
  <c r="AE12" i="4"/>
  <c r="X14" i="4"/>
  <c r="Y14" i="4"/>
  <c r="Z14" i="4"/>
  <c r="AA14" i="4"/>
  <c r="AB14" i="4"/>
  <c r="AC14" i="4"/>
  <c r="AD14" i="4"/>
  <c r="AE14" i="4"/>
  <c r="X15" i="4"/>
  <c r="Y15" i="4"/>
  <c r="Z15" i="4"/>
  <c r="AA15" i="4"/>
  <c r="AB15" i="4"/>
  <c r="AC15" i="4"/>
  <c r="AD15" i="4"/>
  <c r="AE15" i="4"/>
  <c r="X16" i="4"/>
  <c r="Y16" i="4"/>
  <c r="Z16" i="4"/>
  <c r="AA16" i="4"/>
  <c r="AB16" i="4"/>
  <c r="AC16" i="4"/>
  <c r="AD16" i="4"/>
  <c r="AE16" i="4"/>
  <c r="X17" i="4"/>
  <c r="Y17" i="4"/>
  <c r="Z17" i="4"/>
  <c r="AA17" i="4"/>
  <c r="AB17" i="4"/>
  <c r="AC17" i="4"/>
  <c r="AD17" i="4"/>
  <c r="AE17" i="4"/>
  <c r="X18" i="4"/>
  <c r="Y18" i="4"/>
  <c r="Z18" i="4"/>
  <c r="AA18" i="4"/>
  <c r="AB18" i="4"/>
  <c r="AC18" i="4"/>
  <c r="AD18" i="4"/>
  <c r="AE18" i="4"/>
  <c r="X19" i="4"/>
  <c r="Y19" i="4"/>
  <c r="Z19" i="4"/>
  <c r="AA19" i="4"/>
  <c r="AB19" i="4"/>
  <c r="AC19" i="4"/>
  <c r="AD19" i="4"/>
  <c r="AE19" i="4"/>
  <c r="X20" i="4"/>
  <c r="Y20" i="4"/>
  <c r="Z20" i="4"/>
  <c r="AA20" i="4"/>
  <c r="AB20" i="4"/>
  <c r="AC20" i="4"/>
  <c r="AD20" i="4"/>
  <c r="AE20" i="4"/>
  <c r="X21" i="4"/>
  <c r="Y21" i="4"/>
  <c r="Z21" i="4"/>
  <c r="AA21" i="4"/>
  <c r="AB21" i="4"/>
  <c r="AC21" i="4"/>
  <c r="AD21" i="4"/>
  <c r="AE21" i="4"/>
  <c r="X22" i="4"/>
  <c r="Y22" i="4"/>
  <c r="Z22" i="4"/>
  <c r="AA22" i="4"/>
  <c r="AB22" i="4"/>
  <c r="AC22" i="4"/>
  <c r="AD22" i="4"/>
  <c r="AE22" i="4"/>
  <c r="X23" i="4"/>
  <c r="Y23" i="4"/>
  <c r="Z23" i="4"/>
  <c r="AA23" i="4"/>
  <c r="AB23" i="4"/>
  <c r="AC23" i="4"/>
  <c r="AD23" i="4"/>
  <c r="AE23" i="4"/>
  <c r="AA25" i="4"/>
  <c r="X26" i="4"/>
  <c r="Y26" i="4"/>
  <c r="Z26" i="4"/>
  <c r="AA26" i="4"/>
  <c r="AB26" i="4"/>
  <c r="AC26" i="4"/>
  <c r="AD26" i="4"/>
  <c r="AE26" i="4"/>
  <c r="X27" i="4"/>
  <c r="Y27" i="4"/>
  <c r="Z27" i="4"/>
  <c r="AA27" i="4"/>
  <c r="AB27" i="4"/>
  <c r="AC27" i="4"/>
  <c r="AD27" i="4"/>
  <c r="AE27" i="4"/>
  <c r="X28" i="4"/>
  <c r="Y28" i="4"/>
  <c r="Z28" i="4"/>
  <c r="AA28" i="4"/>
  <c r="AB28" i="4"/>
  <c r="AC28" i="4"/>
  <c r="AD28" i="4"/>
  <c r="AE28" i="4"/>
  <c r="X29" i="4"/>
  <c r="Y29" i="4"/>
  <c r="Z29" i="4"/>
  <c r="AA29" i="4"/>
  <c r="AB29" i="4"/>
  <c r="AC29" i="4"/>
  <c r="AD29" i="4"/>
  <c r="AE29" i="4"/>
  <c r="X30" i="4"/>
  <c r="Y30" i="4"/>
  <c r="Z30" i="4"/>
  <c r="AA30" i="4"/>
  <c r="AB30" i="4"/>
  <c r="AC30" i="4"/>
  <c r="AD30" i="4"/>
  <c r="AE30" i="4"/>
  <c r="X31" i="4"/>
  <c r="Y31" i="4"/>
  <c r="Z31" i="4"/>
  <c r="AA31" i="4"/>
  <c r="AB31" i="4"/>
  <c r="AC31" i="4"/>
  <c r="AD31" i="4"/>
  <c r="AE31" i="4"/>
  <c r="X32" i="4"/>
  <c r="Y32" i="4"/>
  <c r="Z32" i="4"/>
  <c r="AA32" i="4"/>
  <c r="AB32" i="4"/>
  <c r="AC32" i="4"/>
  <c r="AD32" i="4"/>
  <c r="AE32" i="4"/>
  <c r="X33" i="4"/>
  <c r="Y33" i="4"/>
  <c r="Z33" i="4"/>
  <c r="AA33" i="4"/>
  <c r="AB33" i="4"/>
  <c r="AC33" i="4"/>
  <c r="AD33" i="4"/>
  <c r="AE33" i="4"/>
  <c r="X34" i="4"/>
  <c r="Y34" i="4"/>
  <c r="Z34" i="4"/>
  <c r="AA34" i="4"/>
  <c r="AB34" i="4"/>
  <c r="AC34" i="4"/>
  <c r="AD34" i="4"/>
  <c r="AE34" i="4"/>
  <c r="X36" i="4"/>
  <c r="Y36" i="4"/>
  <c r="Z36" i="4"/>
  <c r="AA36" i="4"/>
  <c r="AB36" i="4"/>
  <c r="AC36" i="4"/>
  <c r="AD36" i="4"/>
  <c r="AE36" i="4"/>
  <c r="X37" i="4"/>
  <c r="Y37" i="4"/>
  <c r="Z37" i="4"/>
  <c r="AA37" i="4"/>
  <c r="AB37" i="4"/>
  <c r="AC37" i="4"/>
  <c r="AD37" i="4"/>
  <c r="AE37" i="4"/>
  <c r="X38" i="4"/>
  <c r="Y38" i="4"/>
  <c r="Z38" i="4"/>
  <c r="AA38" i="4"/>
  <c r="AB38" i="4"/>
  <c r="AC38" i="4"/>
  <c r="AD38" i="4"/>
  <c r="AE38" i="4"/>
  <c r="X39" i="4"/>
  <c r="Y39" i="4"/>
  <c r="Z39" i="4"/>
  <c r="AA39" i="4"/>
  <c r="AB39" i="4"/>
  <c r="AC39" i="4"/>
  <c r="AD39" i="4"/>
  <c r="AE39" i="4"/>
  <c r="X40" i="4"/>
  <c r="Y40" i="4"/>
  <c r="Z40" i="4"/>
  <c r="AA40" i="4"/>
  <c r="AB40" i="4"/>
  <c r="AC40" i="4"/>
  <c r="AD40" i="4"/>
  <c r="AE40" i="4"/>
  <c r="X41" i="4"/>
  <c r="Y41" i="4"/>
  <c r="Z41" i="4"/>
  <c r="AA41" i="4"/>
  <c r="AB41" i="4"/>
  <c r="AC41" i="4"/>
  <c r="AD41" i="4"/>
  <c r="AE41" i="4"/>
  <c r="X42" i="4"/>
  <c r="Y42" i="4"/>
  <c r="Z42" i="4"/>
  <c r="AA42" i="4"/>
  <c r="AB42" i="4"/>
  <c r="AC42" i="4"/>
  <c r="AD42" i="4"/>
  <c r="AE42" i="4"/>
  <c r="X43" i="4"/>
  <c r="Y43" i="4"/>
  <c r="Z43" i="4"/>
  <c r="AA43" i="4"/>
  <c r="AB43" i="4"/>
  <c r="AC43" i="4"/>
  <c r="AD43" i="4"/>
  <c r="AE43" i="4"/>
  <c r="X44" i="4"/>
  <c r="Y44" i="4"/>
  <c r="Z44" i="4"/>
  <c r="AA44" i="4"/>
  <c r="AB44" i="4"/>
  <c r="AC44" i="4"/>
  <c r="AD44" i="4"/>
  <c r="AE44" i="4"/>
  <c r="X45" i="4"/>
  <c r="Y45" i="4"/>
  <c r="Z45" i="4"/>
  <c r="AA45" i="4"/>
  <c r="AB45" i="4"/>
  <c r="AC45" i="4"/>
  <c r="AD45" i="4"/>
  <c r="AE45" i="4"/>
  <c r="X47" i="4"/>
  <c r="Y47" i="4"/>
  <c r="Z47" i="4"/>
  <c r="AA47" i="4"/>
  <c r="AB47" i="4"/>
  <c r="AC47" i="4"/>
  <c r="AD47" i="4"/>
  <c r="AE47" i="4"/>
  <c r="X48" i="4"/>
  <c r="Y48" i="4"/>
  <c r="Z48" i="4"/>
  <c r="AA48" i="4"/>
  <c r="AB48" i="4"/>
  <c r="AC48" i="4"/>
  <c r="AD48" i="4"/>
  <c r="AE48" i="4"/>
  <c r="X49" i="4"/>
  <c r="Y49" i="4"/>
  <c r="Z49" i="4"/>
  <c r="AA49" i="4"/>
  <c r="AB49" i="4"/>
  <c r="AC49" i="4"/>
  <c r="AD49" i="4"/>
  <c r="AE49" i="4"/>
  <c r="X50" i="4"/>
  <c r="Y50" i="4"/>
  <c r="Z50" i="4"/>
  <c r="AA50" i="4"/>
  <c r="AB50" i="4"/>
  <c r="AC50" i="4"/>
  <c r="AD50" i="4"/>
  <c r="AE50" i="4"/>
  <c r="X51" i="4"/>
  <c r="Y51" i="4"/>
  <c r="Z51" i="4"/>
  <c r="AA51" i="4"/>
  <c r="AB51" i="4"/>
  <c r="AC51" i="4"/>
  <c r="AD51" i="4"/>
  <c r="AE51" i="4"/>
  <c r="X52" i="4"/>
  <c r="Y52" i="4"/>
  <c r="Z52" i="4"/>
  <c r="AA52" i="4"/>
  <c r="AB52" i="4"/>
  <c r="AC52" i="4"/>
  <c r="AD52" i="4"/>
  <c r="AE52" i="4"/>
  <c r="X53" i="4"/>
  <c r="Y53" i="4"/>
  <c r="Z53" i="4"/>
  <c r="AA53" i="4"/>
  <c r="AB53" i="4"/>
  <c r="AC53" i="4"/>
  <c r="AD53" i="4"/>
  <c r="AE53" i="4"/>
  <c r="X54" i="4"/>
  <c r="Y54" i="4"/>
  <c r="Z54" i="4"/>
  <c r="AA54" i="4"/>
  <c r="AB54" i="4"/>
  <c r="AC54" i="4"/>
  <c r="AD54" i="4"/>
  <c r="AE54" i="4"/>
  <c r="X55" i="4"/>
  <c r="Y55" i="4"/>
  <c r="Z55" i="4"/>
  <c r="AA55" i="4"/>
  <c r="AB55" i="4"/>
  <c r="AC55" i="4"/>
  <c r="AD55" i="4"/>
  <c r="AE55" i="4"/>
  <c r="X56" i="4"/>
  <c r="Y56" i="4"/>
  <c r="Z56" i="4"/>
  <c r="AA56" i="4"/>
  <c r="AB56" i="4"/>
  <c r="AC56" i="4"/>
  <c r="AD56" i="4"/>
  <c r="AE56" i="4"/>
  <c r="X58" i="4"/>
  <c r="Y58" i="4"/>
  <c r="Z58" i="4"/>
  <c r="AA58" i="4"/>
  <c r="AB58" i="4"/>
  <c r="AC58" i="4"/>
  <c r="AD58" i="4"/>
  <c r="AE58" i="4"/>
  <c r="X59" i="4"/>
  <c r="Y59" i="4"/>
  <c r="Z59" i="4"/>
  <c r="AA59" i="4"/>
  <c r="AB59" i="4"/>
  <c r="AC59" i="4"/>
  <c r="AD59" i="4"/>
  <c r="AE59" i="4"/>
  <c r="X60" i="4"/>
  <c r="Y60" i="4"/>
  <c r="Z60" i="4"/>
  <c r="AA60" i="4"/>
  <c r="AB60" i="4"/>
  <c r="AC60" i="4"/>
  <c r="AD60" i="4"/>
  <c r="AE60" i="4"/>
  <c r="X61" i="4"/>
  <c r="Y61" i="4"/>
  <c r="Z61" i="4"/>
  <c r="AA61" i="4"/>
  <c r="AB61" i="4"/>
  <c r="AC61" i="4"/>
  <c r="AD61" i="4"/>
  <c r="AE61" i="4"/>
  <c r="X62" i="4"/>
  <c r="Y62" i="4"/>
  <c r="Z62" i="4"/>
  <c r="AA62" i="4"/>
  <c r="AB62" i="4"/>
  <c r="AC62" i="4"/>
  <c r="AD62" i="4"/>
  <c r="AE62" i="4"/>
  <c r="X63" i="4"/>
  <c r="Y63" i="4"/>
  <c r="Z63" i="4"/>
  <c r="AA63" i="4"/>
  <c r="AB63" i="4"/>
  <c r="AC63" i="4"/>
  <c r="AD63" i="4"/>
  <c r="AE63" i="4"/>
  <c r="X64" i="4"/>
  <c r="Y64" i="4"/>
  <c r="Z64" i="4"/>
  <c r="AA64" i="4"/>
  <c r="AB64" i="4"/>
  <c r="AC64" i="4"/>
  <c r="AD64" i="4"/>
  <c r="AE64" i="4"/>
  <c r="X65" i="4"/>
  <c r="Y65" i="4"/>
  <c r="Z65" i="4"/>
  <c r="AA65" i="4"/>
  <c r="AB65" i="4"/>
  <c r="AC65" i="4"/>
  <c r="AD65" i="4"/>
  <c r="AE65" i="4"/>
  <c r="X66" i="4"/>
  <c r="Y66" i="4"/>
  <c r="Z66" i="4"/>
  <c r="AA66" i="4"/>
  <c r="AB66" i="4"/>
  <c r="AC66" i="4"/>
  <c r="AD66" i="4"/>
  <c r="AE66" i="4"/>
  <c r="X67" i="4"/>
  <c r="Y67" i="4"/>
  <c r="Z67" i="4"/>
  <c r="AA67" i="4"/>
  <c r="AB67" i="4"/>
  <c r="AC67" i="4"/>
  <c r="AD67" i="4"/>
  <c r="AE67" i="4"/>
  <c r="X69" i="4"/>
  <c r="Y69" i="4"/>
  <c r="Z69" i="4"/>
  <c r="AA69" i="4"/>
  <c r="AB69" i="4"/>
  <c r="AC69" i="4"/>
  <c r="AD69" i="4"/>
  <c r="AE69" i="4"/>
  <c r="X70" i="4"/>
  <c r="Y70" i="4"/>
  <c r="Z70" i="4"/>
  <c r="AA70" i="4"/>
  <c r="AB70" i="4"/>
  <c r="AC70" i="4"/>
  <c r="AD70" i="4"/>
  <c r="AE70" i="4"/>
  <c r="X71" i="4"/>
  <c r="Y71" i="4"/>
  <c r="Z71" i="4"/>
  <c r="AA71" i="4"/>
  <c r="AB71" i="4"/>
  <c r="AC71" i="4"/>
  <c r="AD71" i="4"/>
  <c r="AE71" i="4"/>
  <c r="X72" i="4"/>
  <c r="Y72" i="4"/>
  <c r="Z72" i="4"/>
  <c r="AA72" i="4"/>
  <c r="AB72" i="4"/>
  <c r="AC72" i="4"/>
  <c r="AD72" i="4"/>
  <c r="AE72" i="4"/>
  <c r="X73" i="4"/>
  <c r="Y73" i="4"/>
  <c r="Z73" i="4"/>
  <c r="AA73" i="4"/>
  <c r="AB73" i="4"/>
  <c r="AC73" i="4"/>
  <c r="AD73" i="4"/>
  <c r="AE73" i="4"/>
  <c r="X74" i="4"/>
  <c r="Y74" i="4"/>
  <c r="Z74" i="4"/>
  <c r="AA74" i="4"/>
  <c r="AB74" i="4"/>
  <c r="AC74" i="4"/>
  <c r="AD74" i="4"/>
  <c r="AE74" i="4"/>
  <c r="X75" i="4"/>
  <c r="Y75" i="4"/>
  <c r="Z75" i="4"/>
  <c r="AA75" i="4"/>
  <c r="AB75" i="4"/>
  <c r="AC75" i="4"/>
  <c r="AD75" i="4"/>
  <c r="AE75" i="4"/>
  <c r="X76" i="4"/>
  <c r="Y76" i="4"/>
  <c r="Z76" i="4"/>
  <c r="AA76" i="4"/>
  <c r="AB76" i="4"/>
  <c r="AC76" i="4"/>
  <c r="AD76" i="4"/>
  <c r="AE76" i="4"/>
  <c r="X77" i="4"/>
  <c r="Y77" i="4"/>
  <c r="Z77" i="4"/>
  <c r="AA77" i="4"/>
  <c r="AB77" i="4"/>
  <c r="AC77" i="4"/>
  <c r="AD77" i="4"/>
  <c r="AE77" i="4"/>
  <c r="X78" i="4"/>
  <c r="Y78" i="4"/>
  <c r="Z78" i="4"/>
  <c r="AA78" i="4"/>
  <c r="AB78" i="4"/>
  <c r="AC78" i="4"/>
  <c r="AD78" i="4"/>
  <c r="AE78" i="4"/>
  <c r="X80" i="4"/>
  <c r="Y80" i="4"/>
  <c r="Z80" i="4"/>
  <c r="AA80" i="4"/>
  <c r="AB80" i="4"/>
  <c r="AC80" i="4"/>
  <c r="AD80" i="4"/>
  <c r="AE80" i="4"/>
  <c r="X81" i="4"/>
  <c r="Y81" i="4"/>
  <c r="Z81" i="4"/>
  <c r="AA81" i="4"/>
  <c r="AB81" i="4"/>
  <c r="AC81" i="4"/>
  <c r="AD81" i="4"/>
  <c r="AE81" i="4"/>
  <c r="X82" i="4"/>
  <c r="Y82" i="4"/>
  <c r="Z82" i="4"/>
  <c r="AA82" i="4"/>
  <c r="AB82" i="4"/>
  <c r="AC82" i="4"/>
  <c r="AD82" i="4"/>
  <c r="AE82" i="4"/>
  <c r="X83" i="4"/>
  <c r="Y83" i="4"/>
  <c r="Z83" i="4"/>
  <c r="AA83" i="4"/>
  <c r="AB83" i="4"/>
  <c r="AC83" i="4"/>
  <c r="AD83" i="4"/>
  <c r="AE83" i="4"/>
  <c r="X84" i="4"/>
  <c r="Y84" i="4"/>
  <c r="Z84" i="4"/>
  <c r="AA84" i="4"/>
  <c r="AB84" i="4"/>
  <c r="AC84" i="4"/>
  <c r="AD84" i="4"/>
  <c r="AE84" i="4"/>
  <c r="X85" i="4"/>
  <c r="Y85" i="4"/>
  <c r="Z85" i="4"/>
  <c r="AA85" i="4"/>
  <c r="AB85" i="4"/>
  <c r="AC85" i="4"/>
  <c r="AD85" i="4"/>
  <c r="AE85" i="4"/>
  <c r="X86" i="4"/>
  <c r="Y86" i="4"/>
  <c r="Z86" i="4"/>
  <c r="AA86" i="4"/>
  <c r="AB86" i="4"/>
  <c r="AC86" i="4"/>
  <c r="AD86" i="4"/>
  <c r="AE86" i="4"/>
  <c r="X87" i="4"/>
  <c r="Y87" i="4"/>
  <c r="Z87" i="4"/>
  <c r="AA87" i="4"/>
  <c r="AB87" i="4"/>
  <c r="AC87" i="4"/>
  <c r="AD87" i="4"/>
  <c r="AE87" i="4"/>
  <c r="X88" i="4"/>
  <c r="Y88" i="4"/>
  <c r="Z88" i="4"/>
  <c r="AA88" i="4"/>
  <c r="AB88" i="4"/>
  <c r="AC88" i="4"/>
  <c r="AD88" i="4"/>
  <c r="AE88" i="4"/>
  <c r="X90" i="4"/>
  <c r="Y90" i="4"/>
  <c r="Z90" i="4"/>
  <c r="AA90" i="4"/>
  <c r="AB90" i="4"/>
  <c r="AC90" i="4"/>
  <c r="AD90" i="4"/>
  <c r="AE90" i="4"/>
  <c r="X91" i="4"/>
  <c r="Y91" i="4"/>
  <c r="Z91" i="4"/>
  <c r="AA91" i="4"/>
  <c r="AB91" i="4"/>
  <c r="AC91" i="4"/>
  <c r="AD91" i="4"/>
  <c r="AE91" i="4"/>
  <c r="X92" i="4"/>
  <c r="Y92" i="4"/>
  <c r="Z92" i="4"/>
  <c r="AA92" i="4"/>
  <c r="AB92" i="4"/>
  <c r="AC92" i="4"/>
  <c r="AD92" i="4"/>
  <c r="AE92" i="4"/>
  <c r="X93" i="4"/>
  <c r="Y93" i="4"/>
  <c r="Z93" i="4"/>
  <c r="AA93" i="4"/>
  <c r="AB93" i="4"/>
  <c r="AC93" i="4"/>
  <c r="AD93" i="4"/>
  <c r="AE93" i="4"/>
  <c r="X94" i="4"/>
  <c r="Y94" i="4"/>
  <c r="Z94" i="4"/>
  <c r="AA94" i="4"/>
  <c r="AB94" i="4"/>
  <c r="AC94" i="4"/>
  <c r="AD94" i="4"/>
  <c r="AE94" i="4"/>
  <c r="X95" i="4"/>
  <c r="Y95" i="4"/>
  <c r="Z95" i="4"/>
  <c r="AA95" i="4"/>
  <c r="AB95" i="4"/>
  <c r="AC95" i="4"/>
  <c r="AD95" i="4"/>
  <c r="AE95" i="4"/>
  <c r="X96" i="4"/>
  <c r="Y96" i="4"/>
  <c r="Z96" i="4"/>
  <c r="AA96" i="4"/>
  <c r="AB96" i="4"/>
  <c r="AC96" i="4"/>
  <c r="AD96" i="4"/>
  <c r="AE96" i="4"/>
  <c r="X97" i="4"/>
  <c r="Y97" i="4"/>
  <c r="Z97" i="4"/>
  <c r="AA97" i="4"/>
  <c r="AB97" i="4"/>
  <c r="AC97" i="4"/>
  <c r="AD97" i="4"/>
  <c r="AE97" i="4"/>
  <c r="X98" i="4"/>
  <c r="Y98" i="4"/>
  <c r="Z98" i="4"/>
  <c r="AA98" i="4"/>
  <c r="AB98" i="4"/>
  <c r="AC98" i="4"/>
  <c r="AD98" i="4"/>
  <c r="AE98" i="4"/>
  <c r="X99" i="4"/>
  <c r="Y99" i="4"/>
  <c r="Z99" i="4"/>
  <c r="AA99" i="4"/>
  <c r="AB99" i="4"/>
  <c r="AC99" i="4"/>
  <c r="AD99" i="4"/>
  <c r="AE99" i="4"/>
  <c r="X101" i="4"/>
  <c r="Y101" i="4"/>
  <c r="Z101" i="4"/>
  <c r="AA101" i="4"/>
  <c r="AB101" i="4"/>
  <c r="AC101" i="4"/>
  <c r="AD101" i="4"/>
  <c r="AE101" i="4"/>
  <c r="X102" i="4"/>
  <c r="Y102" i="4"/>
  <c r="Z102" i="4"/>
  <c r="AA102" i="4"/>
  <c r="AB102" i="4"/>
  <c r="AC102" i="4"/>
  <c r="AD102" i="4"/>
  <c r="AE102" i="4"/>
  <c r="X103" i="4"/>
  <c r="Y103" i="4"/>
  <c r="Z103" i="4"/>
  <c r="AA103" i="4"/>
  <c r="AB103" i="4"/>
  <c r="AC103" i="4"/>
  <c r="AD103" i="4"/>
  <c r="AE103" i="4"/>
  <c r="X104" i="4"/>
  <c r="Y104" i="4"/>
  <c r="Z104" i="4"/>
  <c r="AA104" i="4"/>
  <c r="AB104" i="4"/>
  <c r="AC104" i="4"/>
  <c r="AD104" i="4"/>
  <c r="AE104" i="4"/>
  <c r="X105" i="4"/>
  <c r="Y105" i="4"/>
  <c r="Z105" i="4"/>
  <c r="AA105" i="4"/>
  <c r="AB105" i="4"/>
  <c r="AC105" i="4"/>
  <c r="AD105" i="4"/>
  <c r="AE105" i="4"/>
  <c r="X106" i="4"/>
  <c r="Y106" i="4"/>
  <c r="Z106" i="4"/>
  <c r="AA106" i="4"/>
  <c r="AB106" i="4"/>
  <c r="AC106" i="4"/>
  <c r="AD106" i="4"/>
  <c r="AE106" i="4"/>
  <c r="X107" i="4"/>
  <c r="Y107" i="4"/>
  <c r="Z107" i="4"/>
  <c r="AA107" i="4"/>
  <c r="AB107" i="4"/>
  <c r="AC107" i="4"/>
  <c r="AD107" i="4"/>
  <c r="AE107" i="4"/>
  <c r="X108" i="4"/>
  <c r="Y108" i="4"/>
  <c r="Z108" i="4"/>
  <c r="AA108" i="4"/>
  <c r="AB108" i="4"/>
  <c r="AC108" i="4"/>
  <c r="AD108" i="4"/>
  <c r="AE108" i="4"/>
  <c r="X109" i="4"/>
  <c r="Y109" i="4"/>
  <c r="Z109" i="4"/>
  <c r="AA109" i="4"/>
  <c r="AB109" i="4"/>
  <c r="AC109" i="4"/>
  <c r="AD109" i="4"/>
  <c r="AE109" i="4"/>
  <c r="X110" i="4"/>
  <c r="Y110" i="4"/>
  <c r="Z110" i="4"/>
  <c r="AA110" i="4"/>
  <c r="AB110" i="4"/>
  <c r="AC110" i="4"/>
  <c r="AD110" i="4"/>
  <c r="AE110" i="4"/>
  <c r="X112" i="4"/>
  <c r="Y112" i="4"/>
  <c r="Z112" i="4"/>
  <c r="AA112" i="4"/>
  <c r="AB112" i="4"/>
  <c r="AC112" i="4"/>
  <c r="AD112" i="4"/>
  <c r="AE112" i="4"/>
  <c r="X113" i="4"/>
  <c r="Y113" i="4"/>
  <c r="Z113" i="4"/>
  <c r="AA113" i="4"/>
  <c r="AB113" i="4"/>
  <c r="AC113" i="4"/>
  <c r="AD113" i="4"/>
  <c r="AE113" i="4"/>
  <c r="X114" i="4"/>
  <c r="Y114" i="4"/>
  <c r="Z114" i="4"/>
  <c r="AA114" i="4"/>
  <c r="AB114" i="4"/>
  <c r="AC114" i="4"/>
  <c r="AD114" i="4"/>
  <c r="AE114" i="4"/>
  <c r="X115" i="4"/>
  <c r="Y115" i="4"/>
  <c r="Z115" i="4"/>
  <c r="AA115" i="4"/>
  <c r="AB115" i="4"/>
  <c r="AC115" i="4"/>
  <c r="AD115" i="4"/>
  <c r="AE115" i="4"/>
  <c r="X116" i="4"/>
  <c r="Y116" i="4"/>
  <c r="Z116" i="4"/>
  <c r="AA116" i="4"/>
  <c r="AB116" i="4"/>
  <c r="AC116" i="4"/>
  <c r="AD116" i="4"/>
  <c r="AE116" i="4"/>
  <c r="X117" i="4"/>
  <c r="Y117" i="4"/>
  <c r="Z117" i="4"/>
  <c r="AA117" i="4"/>
  <c r="AB117" i="4"/>
  <c r="AC117" i="4"/>
  <c r="AD117" i="4"/>
  <c r="AE117" i="4"/>
  <c r="X118" i="4"/>
  <c r="Y118" i="4"/>
  <c r="Z118" i="4"/>
  <c r="AA118" i="4"/>
  <c r="AB118" i="4"/>
  <c r="AC118" i="4"/>
  <c r="AD118" i="4"/>
  <c r="AE118" i="4"/>
  <c r="X119" i="4"/>
  <c r="Y119" i="4"/>
  <c r="Z119" i="4"/>
  <c r="AA119" i="4"/>
  <c r="AB119" i="4"/>
  <c r="AC119" i="4"/>
  <c r="AD119" i="4"/>
  <c r="AE119" i="4"/>
  <c r="X120" i="4"/>
  <c r="Y120" i="4"/>
  <c r="Z120" i="4"/>
  <c r="AA120" i="4"/>
  <c r="AB120" i="4"/>
  <c r="AC120" i="4"/>
  <c r="AD120" i="4"/>
  <c r="AE120" i="4"/>
  <c r="X121" i="4"/>
  <c r="Y121" i="4"/>
  <c r="Z121" i="4"/>
  <c r="AA121" i="4"/>
  <c r="AB121" i="4"/>
  <c r="AC121" i="4"/>
  <c r="AD121" i="4"/>
  <c r="AE121" i="4"/>
  <c r="X123" i="4"/>
  <c r="Y123" i="4"/>
  <c r="Z123" i="4"/>
  <c r="AA123" i="4"/>
  <c r="AB123" i="4"/>
  <c r="AC123" i="4"/>
  <c r="AD123" i="4"/>
  <c r="AE123" i="4"/>
  <c r="X124" i="4"/>
  <c r="Y124" i="4"/>
  <c r="Z124" i="4"/>
  <c r="AA124" i="4"/>
  <c r="AB124" i="4"/>
  <c r="AC124" i="4"/>
  <c r="AD124" i="4"/>
  <c r="AE124" i="4"/>
  <c r="X125" i="4"/>
  <c r="Y125" i="4"/>
  <c r="Z125" i="4"/>
  <c r="AA125" i="4"/>
  <c r="AB125" i="4"/>
  <c r="AC125" i="4"/>
  <c r="AD125" i="4"/>
  <c r="AE125" i="4"/>
  <c r="X126" i="4"/>
  <c r="Y126" i="4"/>
  <c r="Z126" i="4"/>
  <c r="AA126" i="4"/>
  <c r="AB126" i="4"/>
  <c r="AC126" i="4"/>
  <c r="AD126" i="4"/>
  <c r="AE126" i="4"/>
  <c r="X127" i="4"/>
  <c r="Y127" i="4"/>
  <c r="Z127" i="4"/>
  <c r="AA127" i="4"/>
  <c r="AB127" i="4"/>
  <c r="AC127" i="4"/>
  <c r="AD127" i="4"/>
  <c r="AE127" i="4"/>
  <c r="X128" i="4"/>
  <c r="Y128" i="4"/>
  <c r="Z128" i="4"/>
  <c r="AA128" i="4"/>
  <c r="AB128" i="4"/>
  <c r="AC128" i="4"/>
  <c r="AD128" i="4"/>
  <c r="AE128" i="4"/>
  <c r="X129" i="4"/>
  <c r="Y129" i="4"/>
  <c r="Z129" i="4"/>
  <c r="AA129" i="4"/>
  <c r="AB129" i="4"/>
  <c r="AC129" i="4"/>
  <c r="AD129" i="4"/>
  <c r="AE129" i="4"/>
  <c r="X130" i="4"/>
  <c r="Y130" i="4"/>
  <c r="Z130" i="4"/>
  <c r="AA130" i="4"/>
  <c r="AB130" i="4"/>
  <c r="AC130" i="4"/>
  <c r="AD130" i="4"/>
  <c r="AE130" i="4"/>
  <c r="X131" i="4"/>
  <c r="Y131" i="4"/>
  <c r="Z131" i="4"/>
  <c r="AA131" i="4"/>
  <c r="AB131" i="4"/>
  <c r="AC131" i="4"/>
  <c r="AD131" i="4"/>
  <c r="AE131" i="4"/>
  <c r="X132" i="4"/>
  <c r="Y132" i="4"/>
  <c r="Z132" i="4"/>
  <c r="AA132" i="4"/>
  <c r="AB132" i="4"/>
  <c r="AC132" i="4"/>
  <c r="AD132" i="4"/>
  <c r="AE132" i="4"/>
  <c r="X134" i="4"/>
  <c r="Y134" i="4"/>
  <c r="Z134" i="4"/>
  <c r="AA134" i="4"/>
  <c r="AB134" i="4"/>
  <c r="AC134" i="4"/>
  <c r="AD134" i="4"/>
  <c r="AE134" i="4"/>
  <c r="X135" i="4"/>
  <c r="Y135" i="4"/>
  <c r="Z135" i="4"/>
  <c r="AA135" i="4"/>
  <c r="AB135" i="4"/>
  <c r="AC135" i="4"/>
  <c r="AD135" i="4"/>
  <c r="AE135" i="4"/>
  <c r="X136" i="4"/>
  <c r="Y136" i="4"/>
  <c r="Z136" i="4"/>
  <c r="AA136" i="4"/>
  <c r="AB136" i="4"/>
  <c r="AC136" i="4"/>
  <c r="AD136" i="4"/>
  <c r="AE136" i="4"/>
  <c r="X137" i="4"/>
  <c r="Y137" i="4"/>
  <c r="Z137" i="4"/>
  <c r="AA137" i="4"/>
  <c r="AB137" i="4"/>
  <c r="AC137" i="4"/>
  <c r="AD137" i="4"/>
  <c r="AE137" i="4"/>
  <c r="X138" i="4"/>
  <c r="Y138" i="4"/>
  <c r="Z138" i="4"/>
  <c r="AA138" i="4"/>
  <c r="AB138" i="4"/>
  <c r="AC138" i="4"/>
  <c r="AD138" i="4"/>
  <c r="AE138" i="4"/>
  <c r="X139" i="4"/>
  <c r="Y139" i="4"/>
  <c r="Z139" i="4"/>
  <c r="AA139" i="4"/>
  <c r="AB139" i="4"/>
  <c r="AC139" i="4"/>
  <c r="AD139" i="4"/>
  <c r="AE139" i="4"/>
  <c r="X140" i="4"/>
  <c r="Y140" i="4"/>
  <c r="Z140" i="4"/>
  <c r="AA140" i="4"/>
  <c r="AB140" i="4"/>
  <c r="AC140" i="4"/>
  <c r="AD140" i="4"/>
  <c r="AE140" i="4"/>
  <c r="X141" i="4"/>
  <c r="Y141" i="4"/>
  <c r="Z141" i="4"/>
  <c r="AA141" i="4"/>
  <c r="AB141" i="4"/>
  <c r="AC141" i="4"/>
  <c r="AD141" i="4"/>
  <c r="AE141" i="4"/>
  <c r="X142" i="4"/>
  <c r="Y142" i="4"/>
  <c r="Z142" i="4"/>
  <c r="AA142" i="4"/>
  <c r="AB142" i="4"/>
  <c r="AC142" i="4"/>
  <c r="AD142" i="4"/>
  <c r="AE142" i="4"/>
  <c r="X143" i="4"/>
  <c r="Y143" i="4"/>
  <c r="Z143" i="4"/>
  <c r="AA143" i="4"/>
  <c r="AB143" i="4"/>
  <c r="AC143" i="4"/>
  <c r="AD143" i="4"/>
  <c r="AE143" i="4"/>
  <c r="X145" i="4"/>
  <c r="Y145" i="4"/>
  <c r="Z145" i="4"/>
  <c r="AA145" i="4"/>
  <c r="AB145" i="4"/>
  <c r="AC145" i="4"/>
  <c r="AD145" i="4"/>
  <c r="AE145" i="4"/>
  <c r="X146" i="4"/>
  <c r="Y146" i="4"/>
  <c r="Z146" i="4"/>
  <c r="AA146" i="4"/>
  <c r="AB146" i="4"/>
  <c r="AC146" i="4"/>
  <c r="AD146" i="4"/>
  <c r="AE146" i="4"/>
  <c r="X147" i="4"/>
  <c r="Y147" i="4"/>
  <c r="Z147" i="4"/>
  <c r="AA147" i="4"/>
  <c r="AB147" i="4"/>
  <c r="AC147" i="4"/>
  <c r="AD147" i="4"/>
  <c r="AE147" i="4"/>
  <c r="X148" i="4"/>
  <c r="Y148" i="4"/>
  <c r="Z148" i="4"/>
  <c r="AA148" i="4"/>
  <c r="AB148" i="4"/>
  <c r="AC148" i="4"/>
  <c r="AD148" i="4"/>
  <c r="AE148" i="4"/>
  <c r="X149" i="4"/>
  <c r="Y149" i="4"/>
  <c r="Z149" i="4"/>
  <c r="AA149" i="4"/>
  <c r="AB149" i="4"/>
  <c r="AC149" i="4"/>
  <c r="AD149" i="4"/>
  <c r="AE149" i="4"/>
  <c r="X150" i="4"/>
  <c r="Y150" i="4"/>
  <c r="Z150" i="4"/>
  <c r="AA150" i="4"/>
  <c r="AB150" i="4"/>
  <c r="AC150" i="4"/>
  <c r="AD150" i="4"/>
  <c r="AE150" i="4"/>
  <c r="X151" i="4"/>
  <c r="Y151" i="4"/>
  <c r="Z151" i="4"/>
  <c r="AA151" i="4"/>
  <c r="AB151" i="4"/>
  <c r="AC151" i="4"/>
  <c r="AD151" i="4"/>
  <c r="AE151" i="4"/>
  <c r="X152" i="4"/>
  <c r="Y152" i="4"/>
  <c r="Z152" i="4"/>
  <c r="AA152" i="4"/>
  <c r="AB152" i="4"/>
  <c r="AC152" i="4"/>
  <c r="AD152" i="4"/>
  <c r="AE152" i="4"/>
  <c r="X153" i="4"/>
  <c r="Y153" i="4"/>
  <c r="Z153" i="4"/>
  <c r="AA153" i="4"/>
  <c r="AB153" i="4"/>
  <c r="AC153" i="4"/>
  <c r="AD153" i="4"/>
  <c r="AE153" i="4"/>
  <c r="X154" i="4"/>
  <c r="Y154" i="4"/>
  <c r="Z154" i="4"/>
  <c r="AA154" i="4"/>
  <c r="AB154" i="4"/>
  <c r="AC154" i="4"/>
  <c r="AD154" i="4"/>
  <c r="AE154" i="4"/>
  <c r="X156" i="4"/>
  <c r="Y156" i="4"/>
  <c r="Z156" i="4"/>
  <c r="AA156" i="4"/>
  <c r="AB156" i="4"/>
  <c r="AC156" i="4"/>
  <c r="AD156" i="4"/>
  <c r="AE156" i="4"/>
  <c r="X157" i="4"/>
  <c r="Y157" i="4"/>
  <c r="Z157" i="4"/>
  <c r="AA157" i="4"/>
  <c r="AB157" i="4"/>
  <c r="AC157" i="4"/>
  <c r="AD157" i="4"/>
  <c r="AE157" i="4"/>
  <c r="X158" i="4"/>
  <c r="Y158" i="4"/>
  <c r="Z158" i="4"/>
  <c r="AA158" i="4"/>
  <c r="AB158" i="4"/>
  <c r="AC158" i="4"/>
  <c r="AD158" i="4"/>
  <c r="AE158" i="4"/>
  <c r="X159" i="4"/>
  <c r="Y159" i="4"/>
  <c r="Z159" i="4"/>
  <c r="AA159" i="4"/>
  <c r="AB159" i="4"/>
  <c r="AC159" i="4"/>
  <c r="AD159" i="4"/>
  <c r="AE159" i="4"/>
  <c r="X160" i="4"/>
  <c r="Y160" i="4"/>
  <c r="Z160" i="4"/>
  <c r="AA160" i="4"/>
  <c r="AB160" i="4"/>
  <c r="AC160" i="4"/>
  <c r="AD160" i="4"/>
  <c r="AE160" i="4"/>
  <c r="X161" i="4"/>
  <c r="Y161" i="4"/>
  <c r="Z161" i="4"/>
  <c r="AA161" i="4"/>
  <c r="AB161" i="4"/>
  <c r="AC161" i="4"/>
  <c r="AD161" i="4"/>
  <c r="AE161" i="4"/>
  <c r="X162" i="4"/>
  <c r="Y162" i="4"/>
  <c r="Z162" i="4"/>
  <c r="AA162" i="4"/>
  <c r="AB162" i="4"/>
  <c r="AC162" i="4"/>
  <c r="AD162" i="4"/>
  <c r="AE162" i="4"/>
  <c r="X163" i="4"/>
  <c r="Y163" i="4"/>
  <c r="Z163" i="4"/>
  <c r="AA163" i="4"/>
  <c r="AB163" i="4"/>
  <c r="AC163" i="4"/>
  <c r="AD163" i="4"/>
  <c r="AE163" i="4"/>
  <c r="X164" i="4"/>
  <c r="Y164" i="4"/>
  <c r="Z164" i="4"/>
  <c r="AA164" i="4"/>
  <c r="AB164" i="4"/>
  <c r="AC164" i="4"/>
  <c r="AD164" i="4"/>
  <c r="AE164" i="4"/>
  <c r="X165" i="4"/>
  <c r="Y165" i="4"/>
  <c r="Z165" i="4"/>
  <c r="AA165" i="4"/>
  <c r="AB165" i="4"/>
  <c r="AC165" i="4"/>
  <c r="AD165" i="4"/>
  <c r="AE165" i="4"/>
  <c r="X167" i="4"/>
  <c r="Y167" i="4"/>
  <c r="Z167" i="4"/>
  <c r="AA167" i="4"/>
  <c r="AB167" i="4"/>
  <c r="AC167" i="4"/>
  <c r="AD167" i="4"/>
  <c r="AE167" i="4"/>
  <c r="X168" i="4"/>
  <c r="Y168" i="4"/>
  <c r="Z168" i="4"/>
  <c r="AA168" i="4"/>
  <c r="AB168" i="4"/>
  <c r="AC168" i="4"/>
  <c r="AD168" i="4"/>
  <c r="AE168" i="4"/>
  <c r="X169" i="4"/>
  <c r="Y169" i="4"/>
  <c r="Z169" i="4"/>
  <c r="AA169" i="4"/>
  <c r="AB169" i="4"/>
  <c r="AC169" i="4"/>
  <c r="AD169" i="4"/>
  <c r="AE169" i="4"/>
  <c r="X170" i="4"/>
  <c r="Y170" i="4"/>
  <c r="Z170" i="4"/>
  <c r="AA170" i="4"/>
  <c r="AB170" i="4"/>
  <c r="AC170" i="4"/>
  <c r="AD170" i="4"/>
  <c r="AE170" i="4"/>
  <c r="X171" i="4"/>
  <c r="Y171" i="4"/>
  <c r="Z171" i="4"/>
  <c r="AA171" i="4"/>
  <c r="AB171" i="4"/>
  <c r="AC171" i="4"/>
  <c r="AD171" i="4"/>
  <c r="AE171" i="4"/>
  <c r="X172" i="4"/>
  <c r="Y172" i="4"/>
  <c r="Z172" i="4"/>
  <c r="AA172" i="4"/>
  <c r="AB172" i="4"/>
  <c r="AC172" i="4"/>
  <c r="AD172" i="4"/>
  <c r="AE172" i="4"/>
  <c r="X173" i="4"/>
  <c r="Y173" i="4"/>
  <c r="Z173" i="4"/>
  <c r="AA173" i="4"/>
  <c r="AB173" i="4"/>
  <c r="AC173" i="4"/>
  <c r="AD173" i="4"/>
  <c r="AE173" i="4"/>
  <c r="X174" i="4"/>
  <c r="Y174" i="4"/>
  <c r="Z174" i="4"/>
  <c r="AA174" i="4"/>
  <c r="AB174" i="4"/>
  <c r="AC174" i="4"/>
  <c r="AD174" i="4"/>
  <c r="AE174" i="4"/>
  <c r="X175" i="4"/>
  <c r="Y175" i="4"/>
  <c r="Z175" i="4"/>
  <c r="AA175" i="4"/>
  <c r="AB175" i="4"/>
  <c r="AC175" i="4"/>
  <c r="AD175" i="4"/>
  <c r="AE175" i="4"/>
  <c r="X176" i="4"/>
  <c r="Y176" i="4"/>
  <c r="Z176" i="4"/>
  <c r="AA176" i="4"/>
  <c r="AB176" i="4"/>
  <c r="AC176" i="4"/>
  <c r="AD176" i="4"/>
  <c r="AE176" i="4"/>
  <c r="X178" i="4"/>
  <c r="Y178" i="4"/>
  <c r="Z178" i="4"/>
  <c r="AA178" i="4"/>
  <c r="AB178" i="4"/>
  <c r="AC178" i="4"/>
  <c r="AD178" i="4"/>
  <c r="AE178" i="4"/>
  <c r="X179" i="4"/>
  <c r="Y179" i="4"/>
  <c r="Z179" i="4"/>
  <c r="AA179" i="4"/>
  <c r="AB179" i="4"/>
  <c r="AC179" i="4"/>
  <c r="AD179" i="4"/>
  <c r="AE179" i="4"/>
  <c r="X180" i="4"/>
  <c r="Y180" i="4"/>
  <c r="Z180" i="4"/>
  <c r="AA180" i="4"/>
  <c r="AB180" i="4"/>
  <c r="AC180" i="4"/>
  <c r="AD180" i="4"/>
  <c r="AE180" i="4"/>
  <c r="X181" i="4"/>
  <c r="Y181" i="4"/>
  <c r="Z181" i="4"/>
  <c r="AA181" i="4"/>
  <c r="AB181" i="4"/>
  <c r="AC181" i="4"/>
  <c r="AD181" i="4"/>
  <c r="AE181" i="4"/>
  <c r="X182" i="4"/>
  <c r="Y182" i="4"/>
  <c r="Z182" i="4"/>
  <c r="AA182" i="4"/>
  <c r="AB182" i="4"/>
  <c r="AC182" i="4"/>
  <c r="AD182" i="4"/>
  <c r="AE182" i="4"/>
  <c r="X183" i="4"/>
  <c r="Y183" i="4"/>
  <c r="Z183" i="4"/>
  <c r="AA183" i="4"/>
  <c r="AB183" i="4"/>
  <c r="AC183" i="4"/>
  <c r="AD183" i="4"/>
  <c r="AE183" i="4"/>
  <c r="X184" i="4"/>
  <c r="Y184" i="4"/>
  <c r="Z184" i="4"/>
  <c r="AA184" i="4"/>
  <c r="AB184" i="4"/>
  <c r="AC184" i="4"/>
  <c r="AD184" i="4"/>
  <c r="AE184" i="4"/>
  <c r="X185" i="4"/>
  <c r="Y185" i="4"/>
  <c r="Z185" i="4"/>
  <c r="AA185" i="4"/>
  <c r="AB185" i="4"/>
  <c r="AC185" i="4"/>
  <c r="AD185" i="4"/>
  <c r="AE185" i="4"/>
  <c r="X186" i="4"/>
  <c r="Y186" i="4"/>
  <c r="Z186" i="4"/>
  <c r="AA186" i="4"/>
  <c r="AB186" i="4"/>
  <c r="AC186" i="4"/>
  <c r="AD186" i="4"/>
  <c r="AE186" i="4"/>
  <c r="X188" i="4"/>
  <c r="Y188" i="4"/>
  <c r="Z188" i="4"/>
  <c r="AA188" i="4"/>
  <c r="AB188" i="4"/>
  <c r="AC188" i="4"/>
  <c r="AD188" i="4"/>
  <c r="AE188" i="4"/>
  <c r="X189" i="4"/>
  <c r="Y189" i="4"/>
  <c r="Z189" i="4"/>
  <c r="AA189" i="4"/>
  <c r="AB189" i="4"/>
  <c r="AC189" i="4"/>
  <c r="AD189" i="4"/>
  <c r="AE189" i="4"/>
  <c r="X190" i="4"/>
  <c r="Y190" i="4"/>
  <c r="Z190" i="4"/>
  <c r="AA190" i="4"/>
  <c r="AB190" i="4"/>
  <c r="AC190" i="4"/>
  <c r="AD190" i="4"/>
  <c r="AE190" i="4"/>
  <c r="X191" i="4"/>
  <c r="Y191" i="4"/>
  <c r="Z191" i="4"/>
  <c r="AA191" i="4"/>
  <c r="AB191" i="4"/>
  <c r="AC191" i="4"/>
  <c r="AD191" i="4"/>
  <c r="AE191" i="4"/>
  <c r="X192" i="4"/>
  <c r="Y192" i="4"/>
  <c r="Z192" i="4"/>
  <c r="AA192" i="4"/>
  <c r="AB192" i="4"/>
  <c r="AC192" i="4"/>
  <c r="AD192" i="4"/>
  <c r="AE192" i="4"/>
  <c r="X193" i="4"/>
  <c r="Y193" i="4"/>
  <c r="Z193" i="4"/>
  <c r="AA193" i="4"/>
  <c r="AB193" i="4"/>
  <c r="AC193" i="4"/>
  <c r="AD193" i="4"/>
  <c r="AE193" i="4"/>
  <c r="X194" i="4"/>
  <c r="Y194" i="4"/>
  <c r="Z194" i="4"/>
  <c r="AA194" i="4"/>
  <c r="AB194" i="4"/>
  <c r="AC194" i="4"/>
  <c r="AD194" i="4"/>
  <c r="AE194" i="4"/>
  <c r="X195" i="4"/>
  <c r="Y195" i="4"/>
  <c r="Z195" i="4"/>
  <c r="AA195" i="4"/>
  <c r="AB195" i="4"/>
  <c r="AC195" i="4"/>
  <c r="AD195" i="4"/>
  <c r="AE195" i="4"/>
  <c r="X196" i="4"/>
  <c r="Y196" i="4"/>
  <c r="Z196" i="4"/>
  <c r="AA196" i="4"/>
  <c r="AB196" i="4"/>
  <c r="AC196" i="4"/>
  <c r="AD196" i="4"/>
  <c r="AE196" i="4"/>
  <c r="X197" i="4"/>
  <c r="Y197" i="4"/>
  <c r="Z197" i="4"/>
  <c r="AA197" i="4"/>
  <c r="AB197" i="4"/>
  <c r="AC197" i="4"/>
  <c r="AD197" i="4"/>
  <c r="AE197" i="4"/>
  <c r="X199" i="4"/>
  <c r="Y199" i="4"/>
  <c r="Z199" i="4"/>
  <c r="AA199" i="4"/>
  <c r="AB199" i="4"/>
  <c r="AC199" i="4"/>
  <c r="AD199" i="4"/>
  <c r="AE199" i="4"/>
  <c r="X200" i="4"/>
  <c r="Y200" i="4"/>
  <c r="Z200" i="4"/>
  <c r="AA200" i="4"/>
  <c r="AB200" i="4"/>
  <c r="AC200" i="4"/>
  <c r="AD200" i="4"/>
  <c r="AE200" i="4"/>
  <c r="X201" i="4"/>
  <c r="Y201" i="4"/>
  <c r="Z201" i="4"/>
  <c r="AA201" i="4"/>
  <c r="AB201" i="4"/>
  <c r="AC201" i="4"/>
  <c r="AD201" i="4"/>
  <c r="AE201" i="4"/>
  <c r="X202" i="4"/>
  <c r="Y202" i="4"/>
  <c r="Z202" i="4"/>
  <c r="AA202" i="4"/>
  <c r="AB202" i="4"/>
  <c r="AC202" i="4"/>
  <c r="AD202" i="4"/>
  <c r="AE202" i="4"/>
  <c r="X203" i="4"/>
  <c r="Y203" i="4"/>
  <c r="Z203" i="4"/>
  <c r="AA203" i="4"/>
  <c r="AB203" i="4"/>
  <c r="AC203" i="4"/>
  <c r="AD203" i="4"/>
  <c r="AE203" i="4"/>
  <c r="X204" i="4"/>
  <c r="Y204" i="4"/>
  <c r="Z204" i="4"/>
  <c r="AA204" i="4"/>
  <c r="AB204" i="4"/>
  <c r="AC204" i="4"/>
  <c r="AD204" i="4"/>
  <c r="AE204" i="4"/>
  <c r="X205" i="4"/>
  <c r="Y205" i="4"/>
  <c r="Z205" i="4"/>
  <c r="AA205" i="4"/>
  <c r="AB205" i="4"/>
  <c r="AC205" i="4"/>
  <c r="AD205" i="4"/>
  <c r="AE205" i="4"/>
  <c r="X206" i="4"/>
  <c r="Y206" i="4"/>
  <c r="Z206" i="4"/>
  <c r="AA206" i="4"/>
  <c r="AB206" i="4"/>
  <c r="AC206" i="4"/>
  <c r="AD206" i="4"/>
  <c r="AE206" i="4"/>
  <c r="X207" i="4"/>
  <c r="Y207" i="4"/>
  <c r="Z207" i="4"/>
  <c r="AA207" i="4"/>
  <c r="AB207" i="4"/>
  <c r="AC207" i="4"/>
  <c r="AD207" i="4"/>
  <c r="AE207" i="4"/>
  <c r="X208" i="4"/>
  <c r="Y208" i="4"/>
  <c r="Z208" i="4"/>
  <c r="AA208" i="4"/>
  <c r="AB208" i="4"/>
  <c r="AC208" i="4"/>
  <c r="AD208" i="4"/>
  <c r="AE208" i="4"/>
  <c r="X210" i="4"/>
  <c r="Y210" i="4"/>
  <c r="Z210" i="4"/>
  <c r="AA210" i="4"/>
  <c r="AB210" i="4"/>
  <c r="AC210" i="4"/>
  <c r="AD210" i="4"/>
  <c r="AE210" i="4"/>
  <c r="X211" i="4"/>
  <c r="Y211" i="4"/>
  <c r="Z211" i="4"/>
  <c r="AA211" i="4"/>
  <c r="AB211" i="4"/>
  <c r="AC211" i="4"/>
  <c r="AD211" i="4"/>
  <c r="AE211" i="4"/>
  <c r="X212" i="4"/>
  <c r="Y212" i="4"/>
  <c r="Z212" i="4"/>
  <c r="AA212" i="4"/>
  <c r="AB212" i="4"/>
  <c r="AC212" i="4"/>
  <c r="AD212" i="4"/>
  <c r="AE212" i="4"/>
  <c r="X213" i="4"/>
  <c r="Y213" i="4"/>
  <c r="Z213" i="4"/>
  <c r="AA213" i="4"/>
  <c r="AB213" i="4"/>
  <c r="AC213" i="4"/>
  <c r="AD213" i="4"/>
  <c r="AE213" i="4"/>
  <c r="X214" i="4"/>
  <c r="Y214" i="4"/>
  <c r="Z214" i="4"/>
  <c r="AA214" i="4"/>
  <c r="AB214" i="4"/>
  <c r="AC214" i="4"/>
  <c r="AD214" i="4"/>
  <c r="AE214" i="4"/>
  <c r="X215" i="4"/>
  <c r="Y215" i="4"/>
  <c r="Z215" i="4"/>
  <c r="AA215" i="4"/>
  <c r="AB215" i="4"/>
  <c r="AC215" i="4"/>
  <c r="AD215" i="4"/>
  <c r="AE215" i="4"/>
  <c r="X216" i="4"/>
  <c r="Y216" i="4"/>
  <c r="Z216" i="4"/>
  <c r="AA216" i="4"/>
  <c r="AB216" i="4"/>
  <c r="AC216" i="4"/>
  <c r="AD216" i="4"/>
  <c r="AE216" i="4"/>
  <c r="X217" i="4"/>
  <c r="Y217" i="4"/>
  <c r="Z217" i="4"/>
  <c r="AA217" i="4"/>
  <c r="AB217" i="4"/>
  <c r="AC217" i="4"/>
  <c r="AD217" i="4"/>
  <c r="AE217" i="4"/>
  <c r="X218" i="4"/>
  <c r="Y218" i="4"/>
  <c r="Z218" i="4"/>
  <c r="AA218" i="4"/>
  <c r="AB218" i="4"/>
  <c r="AC218" i="4"/>
  <c r="AD218" i="4"/>
  <c r="AE218" i="4"/>
  <c r="X219" i="4"/>
  <c r="Y219" i="4"/>
  <c r="Z219" i="4"/>
  <c r="AA219" i="4"/>
  <c r="AB219" i="4"/>
  <c r="AC219" i="4"/>
  <c r="AD219" i="4"/>
  <c r="AE219" i="4"/>
  <c r="X221" i="4"/>
  <c r="Y221" i="4"/>
  <c r="Z221" i="4"/>
  <c r="AA221" i="4"/>
  <c r="AB221" i="4"/>
  <c r="AC221" i="4"/>
  <c r="AD221" i="4"/>
  <c r="AE221" i="4"/>
  <c r="X222" i="4"/>
  <c r="Y222" i="4"/>
  <c r="Z222" i="4"/>
  <c r="AA222" i="4"/>
  <c r="AB222" i="4"/>
  <c r="AC222" i="4"/>
  <c r="AD222" i="4"/>
  <c r="AE222" i="4"/>
  <c r="X223" i="4"/>
  <c r="Y223" i="4"/>
  <c r="Z223" i="4"/>
  <c r="AA223" i="4"/>
  <c r="AB223" i="4"/>
  <c r="AC223" i="4"/>
  <c r="AD223" i="4"/>
  <c r="AE223" i="4"/>
  <c r="X224" i="4"/>
  <c r="Y224" i="4"/>
  <c r="Z224" i="4"/>
  <c r="AA224" i="4"/>
  <c r="AB224" i="4"/>
  <c r="AC224" i="4"/>
  <c r="AD224" i="4"/>
  <c r="AE224" i="4"/>
  <c r="X225" i="4"/>
  <c r="Y225" i="4"/>
  <c r="Z225" i="4"/>
  <c r="AA225" i="4"/>
  <c r="AB225" i="4"/>
  <c r="AC225" i="4"/>
  <c r="AD225" i="4"/>
  <c r="AE225" i="4"/>
  <c r="X226" i="4"/>
  <c r="Y226" i="4"/>
  <c r="Z226" i="4"/>
  <c r="AA226" i="4"/>
  <c r="AB226" i="4"/>
  <c r="AC226" i="4"/>
  <c r="AD226" i="4"/>
  <c r="AE226" i="4"/>
  <c r="X227" i="4"/>
  <c r="Y227" i="4"/>
  <c r="Z227" i="4"/>
  <c r="AA227" i="4"/>
  <c r="AB227" i="4"/>
  <c r="AC227" i="4"/>
  <c r="AD227" i="4"/>
  <c r="AE227" i="4"/>
  <c r="X228" i="4"/>
  <c r="Y228" i="4"/>
  <c r="Z228" i="4"/>
  <c r="AA228" i="4"/>
  <c r="AB228" i="4"/>
  <c r="AC228" i="4"/>
  <c r="AD228" i="4"/>
  <c r="AE228" i="4"/>
  <c r="X229" i="4"/>
  <c r="Y229" i="4"/>
  <c r="Z229" i="4"/>
  <c r="AA229" i="4"/>
  <c r="AB229" i="4"/>
  <c r="AC229" i="4"/>
  <c r="AD229" i="4"/>
  <c r="AE229" i="4"/>
  <c r="X230" i="4"/>
  <c r="Y230" i="4"/>
  <c r="Z230" i="4"/>
  <c r="AA230" i="4"/>
  <c r="AB230" i="4"/>
  <c r="AC230" i="4"/>
  <c r="AD230" i="4"/>
  <c r="AE230" i="4"/>
  <c r="X232" i="4"/>
  <c r="Y232" i="4"/>
  <c r="Z232" i="4"/>
  <c r="AA232" i="4"/>
  <c r="AB232" i="4"/>
  <c r="AC232" i="4"/>
  <c r="AD232" i="4"/>
  <c r="AE232" i="4"/>
  <c r="X233" i="4"/>
  <c r="Y233" i="4"/>
  <c r="Z233" i="4"/>
  <c r="AA233" i="4"/>
  <c r="AB233" i="4"/>
  <c r="AC233" i="4"/>
  <c r="AD233" i="4"/>
  <c r="AE233" i="4"/>
  <c r="X234" i="4"/>
  <c r="Y234" i="4"/>
  <c r="Z234" i="4"/>
  <c r="AA234" i="4"/>
  <c r="AB234" i="4"/>
  <c r="AC234" i="4"/>
  <c r="AD234" i="4"/>
  <c r="AE234" i="4"/>
  <c r="X235" i="4"/>
  <c r="Y235" i="4"/>
  <c r="Z235" i="4"/>
  <c r="AA235" i="4"/>
  <c r="AB235" i="4"/>
  <c r="AC235" i="4"/>
  <c r="AD235" i="4"/>
  <c r="AE235" i="4"/>
  <c r="X236" i="4"/>
  <c r="Y236" i="4"/>
  <c r="Z236" i="4"/>
  <c r="AA236" i="4"/>
  <c r="AB236" i="4"/>
  <c r="AC236" i="4"/>
  <c r="AD236" i="4"/>
  <c r="AE236" i="4"/>
  <c r="X237" i="4"/>
  <c r="Y237" i="4"/>
  <c r="Z237" i="4"/>
  <c r="AA237" i="4"/>
  <c r="AB237" i="4"/>
  <c r="AC237" i="4"/>
  <c r="AD237" i="4"/>
  <c r="AE237" i="4"/>
  <c r="X238" i="4"/>
  <c r="Y238" i="4"/>
  <c r="Z238" i="4"/>
  <c r="AA238" i="4"/>
  <c r="AB238" i="4"/>
  <c r="AC238" i="4"/>
  <c r="AD238" i="4"/>
  <c r="AE238" i="4"/>
  <c r="X239" i="4"/>
  <c r="Y239" i="4"/>
  <c r="Z239" i="4"/>
  <c r="AA239" i="4"/>
  <c r="AB239" i="4"/>
  <c r="AC239" i="4"/>
  <c r="AD239" i="4"/>
  <c r="AE239" i="4"/>
  <c r="X240" i="4"/>
  <c r="Y240" i="4"/>
  <c r="Z240" i="4"/>
  <c r="AA240" i="4"/>
  <c r="AB240" i="4"/>
  <c r="AC240" i="4"/>
  <c r="AD240" i="4"/>
  <c r="AE240" i="4"/>
  <c r="X241" i="4"/>
  <c r="Y241" i="4"/>
  <c r="Z241" i="4"/>
  <c r="AA241" i="4"/>
  <c r="AB241" i="4"/>
  <c r="AC241" i="4"/>
  <c r="AD241" i="4"/>
  <c r="AE241" i="4"/>
  <c r="X243" i="4"/>
  <c r="Y243" i="4"/>
  <c r="Z243" i="4"/>
  <c r="AA243" i="4"/>
  <c r="AB243" i="4"/>
  <c r="AC243" i="4"/>
  <c r="AD243" i="4"/>
  <c r="AE243" i="4"/>
  <c r="X244" i="4"/>
  <c r="Y244" i="4"/>
  <c r="Z244" i="4"/>
  <c r="AA244" i="4"/>
  <c r="AB244" i="4"/>
  <c r="AC244" i="4"/>
  <c r="AD244" i="4"/>
  <c r="AE244" i="4"/>
  <c r="X245" i="4"/>
  <c r="Y245" i="4"/>
  <c r="Z245" i="4"/>
  <c r="AA245" i="4"/>
  <c r="AB245" i="4"/>
  <c r="AC245" i="4"/>
  <c r="AD245" i="4"/>
  <c r="AE245" i="4"/>
  <c r="X246" i="4"/>
  <c r="Y246" i="4"/>
  <c r="Z246" i="4"/>
  <c r="AA246" i="4"/>
  <c r="AB246" i="4"/>
  <c r="AC246" i="4"/>
  <c r="AD246" i="4"/>
  <c r="AE246" i="4"/>
  <c r="X247" i="4"/>
  <c r="Y247" i="4"/>
  <c r="Z247" i="4"/>
  <c r="AA247" i="4"/>
  <c r="AB247" i="4"/>
  <c r="AC247" i="4"/>
  <c r="AD247" i="4"/>
  <c r="AE247" i="4"/>
  <c r="X248" i="4"/>
  <c r="Y248" i="4"/>
  <c r="Z248" i="4"/>
  <c r="AA248" i="4"/>
  <c r="AB248" i="4"/>
  <c r="AC248" i="4"/>
  <c r="AD248" i="4"/>
  <c r="AE248" i="4"/>
  <c r="X249" i="4"/>
  <c r="Y249" i="4"/>
  <c r="Z249" i="4"/>
  <c r="AA249" i="4"/>
  <c r="AB249" i="4"/>
  <c r="AC249" i="4"/>
  <c r="AD249" i="4"/>
  <c r="AE249" i="4"/>
  <c r="X250" i="4"/>
  <c r="Y250" i="4"/>
  <c r="Z250" i="4"/>
  <c r="AA250" i="4"/>
  <c r="AB250" i="4"/>
  <c r="AC250" i="4"/>
  <c r="AD250" i="4"/>
  <c r="AE250" i="4"/>
  <c r="X251" i="4"/>
  <c r="Y251" i="4"/>
  <c r="Z251" i="4"/>
  <c r="AA251" i="4"/>
  <c r="AB251" i="4"/>
  <c r="AC251" i="4"/>
  <c r="AD251" i="4"/>
  <c r="AE251" i="4"/>
  <c r="X252" i="4"/>
  <c r="Y252" i="4"/>
  <c r="Z252" i="4"/>
  <c r="AA252" i="4"/>
  <c r="AB252" i="4"/>
  <c r="AC252" i="4"/>
  <c r="AD252" i="4"/>
  <c r="AE252" i="4"/>
  <c r="X254" i="4"/>
  <c r="Y254" i="4"/>
  <c r="Z254" i="4"/>
  <c r="AA254" i="4"/>
  <c r="AB254" i="4"/>
  <c r="AC254" i="4"/>
  <c r="AD254" i="4"/>
  <c r="AE254" i="4"/>
  <c r="X255" i="4"/>
  <c r="Y255" i="4"/>
  <c r="Z255" i="4"/>
  <c r="AA255" i="4"/>
  <c r="AB255" i="4"/>
  <c r="AC255" i="4"/>
  <c r="AD255" i="4"/>
  <c r="AE255" i="4"/>
  <c r="X256" i="4"/>
  <c r="Y256" i="4"/>
  <c r="Z256" i="4"/>
  <c r="AA256" i="4"/>
  <c r="AB256" i="4"/>
  <c r="AC256" i="4"/>
  <c r="AD256" i="4"/>
  <c r="AE256" i="4"/>
  <c r="X257" i="4"/>
  <c r="Y257" i="4"/>
  <c r="Z257" i="4"/>
  <c r="AA257" i="4"/>
  <c r="AB257" i="4"/>
  <c r="AC257" i="4"/>
  <c r="AD257" i="4"/>
  <c r="AE257" i="4"/>
  <c r="X258" i="4"/>
  <c r="Y258" i="4"/>
  <c r="Z258" i="4"/>
  <c r="AA258" i="4"/>
  <c r="AB258" i="4"/>
  <c r="AC258" i="4"/>
  <c r="AD258" i="4"/>
  <c r="AE258" i="4"/>
  <c r="X259" i="4"/>
  <c r="Y259" i="4"/>
  <c r="Z259" i="4"/>
  <c r="AA259" i="4"/>
  <c r="AB259" i="4"/>
  <c r="AC259" i="4"/>
  <c r="AD259" i="4"/>
  <c r="AE259" i="4"/>
  <c r="X260" i="4"/>
  <c r="Y260" i="4"/>
  <c r="Z260" i="4"/>
  <c r="AA260" i="4"/>
  <c r="AB260" i="4"/>
  <c r="AC260" i="4"/>
  <c r="AD260" i="4"/>
  <c r="AE260" i="4"/>
  <c r="X261" i="4"/>
  <c r="Y261" i="4"/>
  <c r="Z261" i="4"/>
  <c r="AA261" i="4"/>
  <c r="AB261" i="4"/>
  <c r="AC261" i="4"/>
  <c r="AD261" i="4"/>
  <c r="AE261" i="4"/>
  <c r="X262" i="4"/>
  <c r="Y262" i="4"/>
  <c r="Z262" i="4"/>
  <c r="AA262" i="4"/>
  <c r="AB262" i="4"/>
  <c r="AC262" i="4"/>
  <c r="AD262" i="4"/>
  <c r="AE262" i="4"/>
  <c r="X263" i="4"/>
  <c r="Y263" i="4"/>
  <c r="Z263" i="4"/>
  <c r="AA263" i="4"/>
  <c r="AB263" i="4"/>
  <c r="AC263" i="4"/>
  <c r="AD263" i="4"/>
  <c r="AE263" i="4"/>
  <c r="X265" i="4"/>
  <c r="Y265" i="4"/>
  <c r="Z265" i="4"/>
  <c r="AA265" i="4"/>
  <c r="AB265" i="4"/>
  <c r="AC265" i="4"/>
  <c r="AD265" i="4"/>
  <c r="AE265" i="4"/>
  <c r="X266" i="4"/>
  <c r="Y266" i="4"/>
  <c r="Z266" i="4"/>
  <c r="AA266" i="4"/>
  <c r="AB266" i="4"/>
  <c r="AC266" i="4"/>
  <c r="AD266" i="4"/>
  <c r="AE266" i="4"/>
  <c r="X267" i="4"/>
  <c r="Y267" i="4"/>
  <c r="Z267" i="4"/>
  <c r="AA267" i="4"/>
  <c r="AB267" i="4"/>
  <c r="AC267" i="4"/>
  <c r="AD267" i="4"/>
  <c r="AE267" i="4"/>
  <c r="X268" i="4"/>
  <c r="Y268" i="4"/>
  <c r="Z268" i="4"/>
  <c r="AA268" i="4"/>
  <c r="AB268" i="4"/>
  <c r="AC268" i="4"/>
  <c r="AD268" i="4"/>
  <c r="AE268" i="4"/>
  <c r="X269" i="4"/>
  <c r="Y269" i="4"/>
  <c r="Z269" i="4"/>
  <c r="AA269" i="4"/>
  <c r="AB269" i="4"/>
  <c r="AC269" i="4"/>
  <c r="AD269" i="4"/>
  <c r="AE269" i="4"/>
  <c r="X270" i="4"/>
  <c r="Y270" i="4"/>
  <c r="Z270" i="4"/>
  <c r="AA270" i="4"/>
  <c r="AB270" i="4"/>
  <c r="AC270" i="4"/>
  <c r="AD270" i="4"/>
  <c r="AE270" i="4"/>
  <c r="X271" i="4"/>
  <c r="Y271" i="4"/>
  <c r="Z271" i="4"/>
  <c r="AA271" i="4"/>
  <c r="AB271" i="4"/>
  <c r="AC271" i="4"/>
  <c r="AD271" i="4"/>
  <c r="AE271" i="4"/>
  <c r="X272" i="4"/>
  <c r="Y272" i="4"/>
  <c r="Z272" i="4"/>
  <c r="AA272" i="4"/>
  <c r="AB272" i="4"/>
  <c r="AC272" i="4"/>
  <c r="AD272" i="4"/>
  <c r="AE272" i="4"/>
  <c r="X273" i="4"/>
  <c r="Y273" i="4"/>
  <c r="Z273" i="4"/>
  <c r="AA273" i="4"/>
  <c r="AB273" i="4"/>
  <c r="AC273" i="4"/>
  <c r="AD273" i="4"/>
  <c r="AE273" i="4"/>
  <c r="X274" i="4"/>
  <c r="Y274" i="4"/>
  <c r="Z274" i="4"/>
  <c r="AA274" i="4"/>
  <c r="AB274" i="4"/>
  <c r="AC274" i="4"/>
  <c r="AD274" i="4"/>
  <c r="AE274" i="4"/>
  <c r="X276" i="4"/>
  <c r="Y276" i="4"/>
  <c r="Z276" i="4"/>
  <c r="AA276" i="4"/>
  <c r="AB276" i="4"/>
  <c r="AC276" i="4"/>
  <c r="AD276" i="4"/>
  <c r="AE276" i="4"/>
  <c r="X277" i="4"/>
  <c r="Y277" i="4"/>
  <c r="Z277" i="4"/>
  <c r="AA277" i="4"/>
  <c r="AB277" i="4"/>
  <c r="AC277" i="4"/>
  <c r="AD277" i="4"/>
  <c r="AE277" i="4"/>
  <c r="X278" i="4"/>
  <c r="Y278" i="4"/>
  <c r="Z278" i="4"/>
  <c r="AA278" i="4"/>
  <c r="AB278" i="4"/>
  <c r="AC278" i="4"/>
  <c r="AD278" i="4"/>
  <c r="AE278" i="4"/>
  <c r="X279" i="4"/>
  <c r="Y279" i="4"/>
  <c r="Z279" i="4"/>
  <c r="AA279" i="4"/>
  <c r="AB279" i="4"/>
  <c r="AC279" i="4"/>
  <c r="AD279" i="4"/>
  <c r="AE279" i="4"/>
  <c r="X280" i="4"/>
  <c r="Y280" i="4"/>
  <c r="Z280" i="4"/>
  <c r="AA280" i="4"/>
  <c r="AB280" i="4"/>
  <c r="AC280" i="4"/>
  <c r="AD280" i="4"/>
  <c r="AE280" i="4"/>
  <c r="X281" i="4"/>
  <c r="Y281" i="4"/>
  <c r="Z281" i="4"/>
  <c r="AA281" i="4"/>
  <c r="AB281" i="4"/>
  <c r="AC281" i="4"/>
  <c r="AD281" i="4"/>
  <c r="AE281" i="4"/>
  <c r="X282" i="4"/>
  <c r="Y282" i="4"/>
  <c r="Z282" i="4"/>
  <c r="AA282" i="4"/>
  <c r="AB282" i="4"/>
  <c r="AC282" i="4"/>
  <c r="AD282" i="4"/>
  <c r="AE282" i="4"/>
  <c r="X283" i="4"/>
  <c r="Y283" i="4"/>
  <c r="Z283" i="4"/>
  <c r="AA283" i="4"/>
  <c r="AB283" i="4"/>
  <c r="AC283" i="4"/>
  <c r="AD283" i="4"/>
  <c r="AE283" i="4"/>
  <c r="X284" i="4"/>
  <c r="Y284" i="4"/>
  <c r="Z284" i="4"/>
  <c r="AA284" i="4"/>
  <c r="AB284" i="4"/>
  <c r="AC284" i="4"/>
  <c r="AD284" i="4"/>
  <c r="AE284" i="4"/>
  <c r="X285" i="4"/>
  <c r="Y285" i="4"/>
  <c r="Z285" i="4"/>
  <c r="AA285" i="4"/>
  <c r="AB285" i="4"/>
  <c r="AC285" i="4"/>
  <c r="AD285" i="4"/>
  <c r="AE285" i="4"/>
  <c r="X287" i="4"/>
  <c r="Y287" i="4"/>
  <c r="Z287" i="4"/>
  <c r="AA287" i="4"/>
  <c r="AB287" i="4"/>
  <c r="AC287" i="4"/>
  <c r="AD287" i="4"/>
  <c r="AE287" i="4"/>
  <c r="X288" i="4"/>
  <c r="Y288" i="4"/>
  <c r="Z288" i="4"/>
  <c r="AA288" i="4"/>
  <c r="AB288" i="4"/>
  <c r="AC288" i="4"/>
  <c r="AD288" i="4"/>
  <c r="AE288" i="4"/>
  <c r="X289" i="4"/>
  <c r="Y289" i="4"/>
  <c r="Z289" i="4"/>
  <c r="AA289" i="4"/>
  <c r="AB289" i="4"/>
  <c r="AC289" i="4"/>
  <c r="AD289" i="4"/>
  <c r="AE289" i="4"/>
  <c r="X290" i="4"/>
  <c r="Y290" i="4"/>
  <c r="Z290" i="4"/>
  <c r="AA290" i="4"/>
  <c r="AB290" i="4"/>
  <c r="AC290" i="4"/>
  <c r="AD290" i="4"/>
  <c r="AE290" i="4"/>
  <c r="X291" i="4"/>
  <c r="Y291" i="4"/>
  <c r="Z291" i="4"/>
  <c r="AA291" i="4"/>
  <c r="AB291" i="4"/>
  <c r="AC291" i="4"/>
  <c r="AD291" i="4"/>
  <c r="AE291" i="4"/>
  <c r="X292" i="4"/>
  <c r="Y292" i="4"/>
  <c r="Z292" i="4"/>
  <c r="AA292" i="4"/>
  <c r="AB292" i="4"/>
  <c r="AC292" i="4"/>
  <c r="AD292" i="4"/>
  <c r="AE292" i="4"/>
  <c r="X293" i="4"/>
  <c r="Y293" i="4"/>
  <c r="Z293" i="4"/>
  <c r="AA293" i="4"/>
  <c r="AB293" i="4"/>
  <c r="AC293" i="4"/>
  <c r="AD293" i="4"/>
  <c r="AE293" i="4"/>
  <c r="X294" i="4"/>
  <c r="Y294" i="4"/>
  <c r="Z294" i="4"/>
  <c r="AA294" i="4"/>
  <c r="AB294" i="4"/>
  <c r="AC294" i="4"/>
  <c r="AD294" i="4"/>
  <c r="AE294" i="4"/>
  <c r="X295" i="4"/>
  <c r="Y295" i="4"/>
  <c r="Z295" i="4"/>
  <c r="AA295" i="4"/>
  <c r="AB295" i="4"/>
  <c r="AC295" i="4"/>
  <c r="AD295" i="4"/>
  <c r="AE295" i="4"/>
  <c r="X296" i="4"/>
  <c r="Y296" i="4"/>
  <c r="Z296" i="4"/>
  <c r="AA296" i="4"/>
  <c r="AB296" i="4"/>
  <c r="AC296" i="4"/>
  <c r="AD296" i="4"/>
  <c r="AE296" i="4"/>
  <c r="X298" i="4"/>
  <c r="Y298" i="4"/>
  <c r="Z298" i="4"/>
  <c r="AA298" i="4"/>
  <c r="AB298" i="4"/>
  <c r="AC298" i="4"/>
  <c r="AD298" i="4"/>
  <c r="AE298" i="4"/>
  <c r="X299" i="4"/>
  <c r="Y299" i="4"/>
  <c r="Z299" i="4"/>
  <c r="AA299" i="4"/>
  <c r="AB299" i="4"/>
  <c r="AC299" i="4"/>
  <c r="AD299" i="4"/>
  <c r="AE299" i="4"/>
  <c r="X300" i="4"/>
  <c r="Y300" i="4"/>
  <c r="Z300" i="4"/>
  <c r="AA300" i="4"/>
  <c r="AB300" i="4"/>
  <c r="AC300" i="4"/>
  <c r="AD300" i="4"/>
  <c r="AE300" i="4"/>
  <c r="X301" i="4"/>
  <c r="Y301" i="4"/>
  <c r="Z301" i="4"/>
  <c r="AA301" i="4"/>
  <c r="AB301" i="4"/>
  <c r="AC301" i="4"/>
  <c r="AD301" i="4"/>
  <c r="AE301" i="4"/>
  <c r="X302" i="4"/>
  <c r="Y302" i="4"/>
  <c r="Z302" i="4"/>
  <c r="AA302" i="4"/>
  <c r="AB302" i="4"/>
  <c r="AC302" i="4"/>
  <c r="AD302" i="4"/>
  <c r="AE302" i="4"/>
  <c r="X303" i="4"/>
  <c r="Y303" i="4"/>
  <c r="Z303" i="4"/>
  <c r="AA303" i="4"/>
  <c r="AB303" i="4"/>
  <c r="AC303" i="4"/>
  <c r="AD303" i="4"/>
  <c r="AE303" i="4"/>
  <c r="X304" i="4"/>
  <c r="Y304" i="4"/>
  <c r="Z304" i="4"/>
  <c r="AA304" i="4"/>
  <c r="AB304" i="4"/>
  <c r="AC304" i="4"/>
  <c r="AD304" i="4"/>
  <c r="AE304" i="4"/>
  <c r="X305" i="4"/>
  <c r="Y305" i="4"/>
  <c r="Z305" i="4"/>
  <c r="AA305" i="4"/>
  <c r="AB305" i="4"/>
  <c r="AC305" i="4"/>
  <c r="AD305" i="4"/>
  <c r="AE305" i="4"/>
  <c r="X306" i="4"/>
  <c r="Y306" i="4"/>
  <c r="Z306" i="4"/>
  <c r="AA306" i="4"/>
  <c r="AB306" i="4"/>
  <c r="AC306" i="4"/>
  <c r="AD306" i="4"/>
  <c r="AE306" i="4"/>
  <c r="X307" i="4"/>
  <c r="Y307" i="4"/>
  <c r="Z307" i="4"/>
  <c r="AA307" i="4"/>
  <c r="AB307" i="4"/>
  <c r="AC307" i="4"/>
  <c r="AD307" i="4"/>
  <c r="AE307" i="4"/>
  <c r="X309" i="4"/>
  <c r="Y309" i="4"/>
  <c r="Z309" i="4"/>
  <c r="AA309" i="4"/>
  <c r="AB309" i="4"/>
  <c r="AC309" i="4"/>
  <c r="AD309" i="4"/>
  <c r="AE309" i="4"/>
  <c r="X311" i="4"/>
  <c r="Y311" i="4"/>
  <c r="AB311" i="4"/>
  <c r="AC311" i="4"/>
  <c r="AD311" i="4"/>
  <c r="AE311" i="4"/>
  <c r="X312" i="4"/>
  <c r="Y312" i="4"/>
  <c r="Z312" i="4"/>
  <c r="AA312" i="4"/>
  <c r="AB312" i="4"/>
  <c r="AC312" i="4"/>
  <c r="AD312" i="4"/>
  <c r="AE312" i="4"/>
  <c r="X313" i="4"/>
  <c r="Y313" i="4"/>
  <c r="Z313" i="4"/>
  <c r="AA313" i="4"/>
  <c r="AB313" i="4"/>
  <c r="AC313" i="4"/>
  <c r="AD313" i="4"/>
  <c r="AE313" i="4"/>
  <c r="X314" i="4"/>
  <c r="Y314" i="4"/>
  <c r="Z314" i="4"/>
  <c r="AA314" i="4"/>
  <c r="AB314" i="4"/>
  <c r="AC314" i="4"/>
  <c r="AD314" i="4"/>
  <c r="AE314" i="4"/>
  <c r="X315" i="4"/>
  <c r="Y315" i="4"/>
  <c r="Z315" i="4"/>
  <c r="AA315" i="4"/>
  <c r="AB315" i="4"/>
  <c r="AC315" i="4"/>
  <c r="AD315" i="4"/>
  <c r="AE315" i="4"/>
  <c r="X316" i="4"/>
  <c r="Y316" i="4"/>
  <c r="Z316" i="4"/>
  <c r="AA316" i="4"/>
  <c r="AB316" i="4"/>
  <c r="AC316" i="4"/>
  <c r="AD316" i="4"/>
  <c r="AE316" i="4"/>
  <c r="X317" i="4"/>
  <c r="Y317" i="4"/>
  <c r="Z317" i="4"/>
  <c r="AA317" i="4"/>
  <c r="AB317" i="4"/>
  <c r="AC317" i="4"/>
  <c r="AD317" i="4"/>
  <c r="AE317" i="4"/>
  <c r="X318" i="4"/>
  <c r="Y318" i="4"/>
  <c r="Z318" i="4"/>
  <c r="AA318" i="4"/>
  <c r="AB318" i="4"/>
  <c r="AC318" i="4"/>
  <c r="AD318" i="4"/>
  <c r="AE318" i="4"/>
  <c r="M4" i="4"/>
  <c r="N4" i="4"/>
  <c r="O4" i="4"/>
  <c r="P4" i="4"/>
  <c r="Q4" i="4"/>
  <c r="R4" i="4"/>
  <c r="S4" i="4"/>
  <c r="T4" i="4"/>
  <c r="U4" i="4"/>
  <c r="M5" i="4"/>
  <c r="N5" i="4"/>
  <c r="O5" i="4"/>
  <c r="P5" i="4"/>
  <c r="Q5" i="4"/>
  <c r="R5" i="4"/>
  <c r="S5" i="4"/>
  <c r="T5" i="4"/>
  <c r="U5" i="4"/>
  <c r="M6" i="4"/>
  <c r="N6" i="4"/>
  <c r="O6" i="4"/>
  <c r="P6" i="4"/>
  <c r="Q6" i="4"/>
  <c r="R6" i="4"/>
  <c r="S6" i="4"/>
  <c r="T6" i="4"/>
  <c r="U6" i="4"/>
  <c r="M7" i="4"/>
  <c r="N7" i="4"/>
  <c r="O7" i="4"/>
  <c r="P7" i="4"/>
  <c r="Q7" i="4"/>
  <c r="R7" i="4"/>
  <c r="S7" i="4"/>
  <c r="T7" i="4"/>
  <c r="U7" i="4"/>
  <c r="M8" i="4"/>
  <c r="N8" i="4"/>
  <c r="O8" i="4"/>
  <c r="P8" i="4"/>
  <c r="Q8" i="4"/>
  <c r="R8" i="4"/>
  <c r="S8" i="4"/>
  <c r="T8" i="4"/>
  <c r="U8" i="4"/>
  <c r="M9" i="4"/>
  <c r="N9" i="4"/>
  <c r="O9" i="4"/>
  <c r="P9" i="4"/>
  <c r="Q9" i="4"/>
  <c r="R9" i="4"/>
  <c r="S9" i="4"/>
  <c r="T9" i="4"/>
  <c r="U9" i="4"/>
  <c r="M10" i="4"/>
  <c r="N10" i="4"/>
  <c r="O10" i="4"/>
  <c r="P10" i="4"/>
  <c r="Q10" i="4"/>
  <c r="R10" i="4"/>
  <c r="S10" i="4"/>
  <c r="T10" i="4"/>
  <c r="U10" i="4"/>
  <c r="M11" i="4"/>
  <c r="N11" i="4"/>
  <c r="O11" i="4"/>
  <c r="P11" i="4"/>
  <c r="Q11" i="4"/>
  <c r="R11" i="4"/>
  <c r="S11" i="4"/>
  <c r="T11" i="4"/>
  <c r="U11" i="4"/>
  <c r="M12" i="4"/>
  <c r="N12" i="4"/>
  <c r="O12" i="4"/>
  <c r="P12" i="4"/>
  <c r="Q12" i="4"/>
  <c r="R12" i="4"/>
  <c r="S12" i="4"/>
  <c r="T12" i="4"/>
  <c r="U12" i="4"/>
  <c r="M14" i="4"/>
  <c r="N14" i="4"/>
  <c r="O14" i="4"/>
  <c r="P14" i="4"/>
  <c r="Q14" i="4"/>
  <c r="R14" i="4"/>
  <c r="S14" i="4"/>
  <c r="T14" i="4"/>
  <c r="U14" i="4"/>
  <c r="M15" i="4"/>
  <c r="N15" i="4"/>
  <c r="O15" i="4"/>
  <c r="P15" i="4"/>
  <c r="Q15" i="4"/>
  <c r="R15" i="4"/>
  <c r="S15" i="4"/>
  <c r="T15" i="4"/>
  <c r="U15" i="4"/>
  <c r="M16" i="4"/>
  <c r="N16" i="4"/>
  <c r="O16" i="4"/>
  <c r="P16" i="4"/>
  <c r="Q16" i="4"/>
  <c r="R16" i="4"/>
  <c r="S16" i="4"/>
  <c r="T16" i="4"/>
  <c r="U16" i="4"/>
  <c r="M17" i="4"/>
  <c r="N17" i="4"/>
  <c r="O17" i="4"/>
  <c r="P17" i="4"/>
  <c r="Q17" i="4"/>
  <c r="R17" i="4"/>
  <c r="S17" i="4"/>
  <c r="T17" i="4"/>
  <c r="U17" i="4"/>
  <c r="M18" i="4"/>
  <c r="N18" i="4"/>
  <c r="O18" i="4"/>
  <c r="P18" i="4"/>
  <c r="Q18" i="4"/>
  <c r="R18" i="4"/>
  <c r="S18" i="4"/>
  <c r="T18" i="4"/>
  <c r="U18" i="4"/>
  <c r="M19" i="4"/>
  <c r="N19" i="4"/>
  <c r="O19" i="4"/>
  <c r="P19" i="4"/>
  <c r="Q19" i="4"/>
  <c r="R19" i="4"/>
  <c r="S19" i="4"/>
  <c r="T19" i="4"/>
  <c r="U19" i="4"/>
  <c r="M20" i="4"/>
  <c r="N20" i="4"/>
  <c r="O20" i="4"/>
  <c r="P20" i="4"/>
  <c r="Q20" i="4"/>
  <c r="R20" i="4"/>
  <c r="S20" i="4"/>
  <c r="T20" i="4"/>
  <c r="U20" i="4"/>
  <c r="M21" i="4"/>
  <c r="N21" i="4"/>
  <c r="O21" i="4"/>
  <c r="P21" i="4"/>
  <c r="Q21" i="4"/>
  <c r="R21" i="4"/>
  <c r="S21" i="4"/>
  <c r="T21" i="4"/>
  <c r="U21" i="4"/>
  <c r="M22" i="4"/>
  <c r="N22" i="4"/>
  <c r="O22" i="4"/>
  <c r="P22" i="4"/>
  <c r="Q22" i="4"/>
  <c r="R22" i="4"/>
  <c r="S22" i="4"/>
  <c r="T22" i="4"/>
  <c r="U22" i="4"/>
  <c r="M23" i="4"/>
  <c r="N23" i="4"/>
  <c r="O23" i="4"/>
  <c r="P23" i="4"/>
  <c r="Q23" i="4"/>
  <c r="R23" i="4"/>
  <c r="S23" i="4"/>
  <c r="T23" i="4"/>
  <c r="U23" i="4"/>
  <c r="M25" i="4"/>
  <c r="AB25" i="4" s="1"/>
  <c r="N25" i="4"/>
  <c r="O25" i="4"/>
  <c r="P25" i="4"/>
  <c r="Q25" i="4"/>
  <c r="R25" i="4"/>
  <c r="S25" i="4"/>
  <c r="T25" i="4"/>
  <c r="U25" i="4"/>
  <c r="M26" i="4"/>
  <c r="N26" i="4"/>
  <c r="O26" i="4"/>
  <c r="P26" i="4"/>
  <c r="Q26" i="4"/>
  <c r="R26" i="4"/>
  <c r="S26" i="4"/>
  <c r="T26" i="4"/>
  <c r="U26" i="4"/>
  <c r="M27" i="4"/>
  <c r="N27" i="4"/>
  <c r="O27" i="4"/>
  <c r="P27" i="4"/>
  <c r="Q27" i="4"/>
  <c r="R27" i="4"/>
  <c r="S27" i="4"/>
  <c r="T27" i="4"/>
  <c r="U27" i="4"/>
  <c r="M28" i="4"/>
  <c r="N28" i="4"/>
  <c r="O28" i="4"/>
  <c r="P28" i="4"/>
  <c r="Q28" i="4"/>
  <c r="R28" i="4"/>
  <c r="S28" i="4"/>
  <c r="T28" i="4"/>
  <c r="U28" i="4"/>
  <c r="M29" i="4"/>
  <c r="N29" i="4"/>
  <c r="O29" i="4"/>
  <c r="P29" i="4"/>
  <c r="Q29" i="4"/>
  <c r="R29" i="4"/>
  <c r="S29" i="4"/>
  <c r="T29" i="4"/>
  <c r="U29" i="4"/>
  <c r="M30" i="4"/>
  <c r="N30" i="4"/>
  <c r="O30" i="4"/>
  <c r="P30" i="4"/>
  <c r="Q30" i="4"/>
  <c r="R30" i="4"/>
  <c r="S30" i="4"/>
  <c r="T30" i="4"/>
  <c r="U30" i="4"/>
  <c r="M31" i="4"/>
  <c r="N31" i="4"/>
  <c r="O31" i="4"/>
  <c r="P31" i="4"/>
  <c r="Q31" i="4"/>
  <c r="R31" i="4"/>
  <c r="S31" i="4"/>
  <c r="T31" i="4"/>
  <c r="U31" i="4"/>
  <c r="M32" i="4"/>
  <c r="N32" i="4"/>
  <c r="O32" i="4"/>
  <c r="P32" i="4"/>
  <c r="Q32" i="4"/>
  <c r="R32" i="4"/>
  <c r="S32" i="4"/>
  <c r="T32" i="4"/>
  <c r="U32" i="4"/>
  <c r="M33" i="4"/>
  <c r="N33" i="4"/>
  <c r="O33" i="4"/>
  <c r="P33" i="4"/>
  <c r="Q33" i="4"/>
  <c r="R33" i="4"/>
  <c r="S33" i="4"/>
  <c r="T33" i="4"/>
  <c r="U33" i="4"/>
  <c r="M34" i="4"/>
  <c r="N34" i="4"/>
  <c r="O34" i="4"/>
  <c r="P34" i="4"/>
  <c r="Q34" i="4"/>
  <c r="R34" i="4"/>
  <c r="S34" i="4"/>
  <c r="T34" i="4"/>
  <c r="U34" i="4"/>
  <c r="M36" i="4"/>
  <c r="N36" i="4"/>
  <c r="O36" i="4"/>
  <c r="P36" i="4"/>
  <c r="Q36" i="4"/>
  <c r="R36" i="4"/>
  <c r="S36" i="4"/>
  <c r="T36" i="4"/>
  <c r="U36" i="4"/>
  <c r="M37" i="4"/>
  <c r="N37" i="4"/>
  <c r="O37" i="4"/>
  <c r="P37" i="4"/>
  <c r="Q37" i="4"/>
  <c r="R37" i="4"/>
  <c r="S37" i="4"/>
  <c r="T37" i="4"/>
  <c r="U37" i="4"/>
  <c r="M38" i="4"/>
  <c r="N38" i="4"/>
  <c r="O38" i="4"/>
  <c r="P38" i="4"/>
  <c r="Q38" i="4"/>
  <c r="R38" i="4"/>
  <c r="S38" i="4"/>
  <c r="T38" i="4"/>
  <c r="U38" i="4"/>
  <c r="M39" i="4"/>
  <c r="N39" i="4"/>
  <c r="O39" i="4"/>
  <c r="P39" i="4"/>
  <c r="Q39" i="4"/>
  <c r="R39" i="4"/>
  <c r="S39" i="4"/>
  <c r="T39" i="4"/>
  <c r="U39" i="4"/>
  <c r="M40" i="4"/>
  <c r="N40" i="4"/>
  <c r="O40" i="4"/>
  <c r="P40" i="4"/>
  <c r="Q40" i="4"/>
  <c r="R40" i="4"/>
  <c r="S40" i="4"/>
  <c r="T40" i="4"/>
  <c r="U40" i="4"/>
  <c r="M41" i="4"/>
  <c r="N41" i="4"/>
  <c r="O41" i="4"/>
  <c r="P41" i="4"/>
  <c r="Q41" i="4"/>
  <c r="R41" i="4"/>
  <c r="S41" i="4"/>
  <c r="T41" i="4"/>
  <c r="U41" i="4"/>
  <c r="M42" i="4"/>
  <c r="N42" i="4"/>
  <c r="O42" i="4"/>
  <c r="P42" i="4"/>
  <c r="Q42" i="4"/>
  <c r="R42" i="4"/>
  <c r="S42" i="4"/>
  <c r="T42" i="4"/>
  <c r="U42" i="4"/>
  <c r="M43" i="4"/>
  <c r="N43" i="4"/>
  <c r="O43" i="4"/>
  <c r="P43" i="4"/>
  <c r="Q43" i="4"/>
  <c r="R43" i="4"/>
  <c r="S43" i="4"/>
  <c r="T43" i="4"/>
  <c r="U43" i="4"/>
  <c r="M44" i="4"/>
  <c r="N44" i="4"/>
  <c r="O44" i="4"/>
  <c r="P44" i="4"/>
  <c r="Q44" i="4"/>
  <c r="R44" i="4"/>
  <c r="S44" i="4"/>
  <c r="T44" i="4"/>
  <c r="U44" i="4"/>
  <c r="M45" i="4"/>
  <c r="N45" i="4"/>
  <c r="O45" i="4"/>
  <c r="P45" i="4"/>
  <c r="Q45" i="4"/>
  <c r="R45" i="4"/>
  <c r="S45" i="4"/>
  <c r="T45" i="4"/>
  <c r="U45" i="4"/>
  <c r="M47" i="4"/>
  <c r="N47" i="4"/>
  <c r="O47" i="4"/>
  <c r="P47" i="4"/>
  <c r="Q47" i="4"/>
  <c r="R47" i="4"/>
  <c r="S47" i="4"/>
  <c r="T47" i="4"/>
  <c r="U47" i="4"/>
  <c r="M48" i="4"/>
  <c r="N48" i="4"/>
  <c r="O48" i="4"/>
  <c r="P48" i="4"/>
  <c r="Q48" i="4"/>
  <c r="R48" i="4"/>
  <c r="S48" i="4"/>
  <c r="T48" i="4"/>
  <c r="U48" i="4"/>
  <c r="M49" i="4"/>
  <c r="N49" i="4"/>
  <c r="O49" i="4"/>
  <c r="P49" i="4"/>
  <c r="Q49" i="4"/>
  <c r="R49" i="4"/>
  <c r="S49" i="4"/>
  <c r="T49" i="4"/>
  <c r="U49" i="4"/>
  <c r="M50" i="4"/>
  <c r="N50" i="4"/>
  <c r="O50" i="4"/>
  <c r="P50" i="4"/>
  <c r="Q50" i="4"/>
  <c r="R50" i="4"/>
  <c r="S50" i="4"/>
  <c r="T50" i="4"/>
  <c r="U50" i="4"/>
  <c r="M51" i="4"/>
  <c r="N51" i="4"/>
  <c r="O51" i="4"/>
  <c r="P51" i="4"/>
  <c r="Q51" i="4"/>
  <c r="R51" i="4"/>
  <c r="S51" i="4"/>
  <c r="T51" i="4"/>
  <c r="U51" i="4"/>
  <c r="M52" i="4"/>
  <c r="N52" i="4"/>
  <c r="O52" i="4"/>
  <c r="P52" i="4"/>
  <c r="Q52" i="4"/>
  <c r="R52" i="4"/>
  <c r="S52" i="4"/>
  <c r="T52" i="4"/>
  <c r="U52" i="4"/>
  <c r="M53" i="4"/>
  <c r="N53" i="4"/>
  <c r="O53" i="4"/>
  <c r="P53" i="4"/>
  <c r="Q53" i="4"/>
  <c r="R53" i="4"/>
  <c r="S53" i="4"/>
  <c r="T53" i="4"/>
  <c r="U53" i="4"/>
  <c r="M54" i="4"/>
  <c r="N54" i="4"/>
  <c r="O54" i="4"/>
  <c r="P54" i="4"/>
  <c r="Q54" i="4"/>
  <c r="R54" i="4"/>
  <c r="S54" i="4"/>
  <c r="T54" i="4"/>
  <c r="U54" i="4"/>
  <c r="M55" i="4"/>
  <c r="N55" i="4"/>
  <c r="O55" i="4"/>
  <c r="P55" i="4"/>
  <c r="Q55" i="4"/>
  <c r="R55" i="4"/>
  <c r="S55" i="4"/>
  <c r="T55" i="4"/>
  <c r="U55" i="4"/>
  <c r="M56" i="4"/>
  <c r="N56" i="4"/>
  <c r="O56" i="4"/>
  <c r="P56" i="4"/>
  <c r="Q56" i="4"/>
  <c r="R56" i="4"/>
  <c r="S56" i="4"/>
  <c r="T56" i="4"/>
  <c r="U56" i="4"/>
  <c r="M58" i="4"/>
  <c r="N58" i="4"/>
  <c r="O58" i="4"/>
  <c r="P58" i="4"/>
  <c r="Q58" i="4"/>
  <c r="R58" i="4"/>
  <c r="S58" i="4"/>
  <c r="T58" i="4"/>
  <c r="U58" i="4"/>
  <c r="M59" i="4"/>
  <c r="N59" i="4"/>
  <c r="O59" i="4"/>
  <c r="P59" i="4"/>
  <c r="Q59" i="4"/>
  <c r="R59" i="4"/>
  <c r="S59" i="4"/>
  <c r="T59" i="4"/>
  <c r="U59" i="4"/>
  <c r="M60" i="4"/>
  <c r="N60" i="4"/>
  <c r="O60" i="4"/>
  <c r="P60" i="4"/>
  <c r="Q60" i="4"/>
  <c r="R60" i="4"/>
  <c r="S60" i="4"/>
  <c r="T60" i="4"/>
  <c r="U60" i="4"/>
  <c r="M61" i="4"/>
  <c r="N61" i="4"/>
  <c r="O61" i="4"/>
  <c r="P61" i="4"/>
  <c r="Q61" i="4"/>
  <c r="R61" i="4"/>
  <c r="S61" i="4"/>
  <c r="T61" i="4"/>
  <c r="U61" i="4"/>
  <c r="M62" i="4"/>
  <c r="N62" i="4"/>
  <c r="O62" i="4"/>
  <c r="P62" i="4"/>
  <c r="Q62" i="4"/>
  <c r="R62" i="4"/>
  <c r="S62" i="4"/>
  <c r="T62" i="4"/>
  <c r="U62" i="4"/>
  <c r="M63" i="4"/>
  <c r="N63" i="4"/>
  <c r="O63" i="4"/>
  <c r="P63" i="4"/>
  <c r="Q63" i="4"/>
  <c r="R63" i="4"/>
  <c r="S63" i="4"/>
  <c r="T63" i="4"/>
  <c r="U63" i="4"/>
  <c r="M64" i="4"/>
  <c r="N64" i="4"/>
  <c r="O64" i="4"/>
  <c r="P64" i="4"/>
  <c r="Q64" i="4"/>
  <c r="R64" i="4"/>
  <c r="S64" i="4"/>
  <c r="T64" i="4"/>
  <c r="U64" i="4"/>
  <c r="M65" i="4"/>
  <c r="N65" i="4"/>
  <c r="O65" i="4"/>
  <c r="P65" i="4"/>
  <c r="Q65" i="4"/>
  <c r="R65" i="4"/>
  <c r="S65" i="4"/>
  <c r="T65" i="4"/>
  <c r="U65" i="4"/>
  <c r="M66" i="4"/>
  <c r="N66" i="4"/>
  <c r="O66" i="4"/>
  <c r="P66" i="4"/>
  <c r="Q66" i="4"/>
  <c r="R66" i="4"/>
  <c r="S66" i="4"/>
  <c r="T66" i="4"/>
  <c r="U66" i="4"/>
  <c r="M67" i="4"/>
  <c r="N67" i="4"/>
  <c r="O67" i="4"/>
  <c r="P67" i="4"/>
  <c r="Q67" i="4"/>
  <c r="R67" i="4"/>
  <c r="S67" i="4"/>
  <c r="T67" i="4"/>
  <c r="U67" i="4"/>
  <c r="M69" i="4"/>
  <c r="N69" i="4"/>
  <c r="O69" i="4"/>
  <c r="P69" i="4"/>
  <c r="Q69" i="4"/>
  <c r="R69" i="4"/>
  <c r="S69" i="4"/>
  <c r="T69" i="4"/>
  <c r="U69" i="4"/>
  <c r="M70" i="4"/>
  <c r="N70" i="4"/>
  <c r="O70" i="4"/>
  <c r="P70" i="4"/>
  <c r="Q70" i="4"/>
  <c r="R70" i="4"/>
  <c r="S70" i="4"/>
  <c r="T70" i="4"/>
  <c r="U70" i="4"/>
  <c r="M71" i="4"/>
  <c r="N71" i="4"/>
  <c r="O71" i="4"/>
  <c r="P71" i="4"/>
  <c r="Q71" i="4"/>
  <c r="R71" i="4"/>
  <c r="S71" i="4"/>
  <c r="T71" i="4"/>
  <c r="U71" i="4"/>
  <c r="M72" i="4"/>
  <c r="N72" i="4"/>
  <c r="O72" i="4"/>
  <c r="P72" i="4"/>
  <c r="Q72" i="4"/>
  <c r="R72" i="4"/>
  <c r="S72" i="4"/>
  <c r="T72" i="4"/>
  <c r="U72" i="4"/>
  <c r="M73" i="4"/>
  <c r="N73" i="4"/>
  <c r="O73" i="4"/>
  <c r="P73" i="4"/>
  <c r="Q73" i="4"/>
  <c r="R73" i="4"/>
  <c r="S73" i="4"/>
  <c r="T73" i="4"/>
  <c r="U73" i="4"/>
  <c r="M74" i="4"/>
  <c r="N74" i="4"/>
  <c r="O74" i="4"/>
  <c r="P74" i="4"/>
  <c r="Q74" i="4"/>
  <c r="R74" i="4"/>
  <c r="S74" i="4"/>
  <c r="T74" i="4"/>
  <c r="U74" i="4"/>
  <c r="M75" i="4"/>
  <c r="N75" i="4"/>
  <c r="O75" i="4"/>
  <c r="P75" i="4"/>
  <c r="Q75" i="4"/>
  <c r="R75" i="4"/>
  <c r="S75" i="4"/>
  <c r="T75" i="4"/>
  <c r="U75" i="4"/>
  <c r="M76" i="4"/>
  <c r="N76" i="4"/>
  <c r="O76" i="4"/>
  <c r="P76" i="4"/>
  <c r="Q76" i="4"/>
  <c r="R76" i="4"/>
  <c r="S76" i="4"/>
  <c r="T76" i="4"/>
  <c r="U76" i="4"/>
  <c r="M77" i="4"/>
  <c r="N77" i="4"/>
  <c r="O77" i="4"/>
  <c r="P77" i="4"/>
  <c r="Q77" i="4"/>
  <c r="R77" i="4"/>
  <c r="S77" i="4"/>
  <c r="T77" i="4"/>
  <c r="U77" i="4"/>
  <c r="M78" i="4"/>
  <c r="N78" i="4"/>
  <c r="O78" i="4"/>
  <c r="P78" i="4"/>
  <c r="Q78" i="4"/>
  <c r="R78" i="4"/>
  <c r="S78" i="4"/>
  <c r="T78" i="4"/>
  <c r="U78" i="4"/>
  <c r="M80" i="4"/>
  <c r="N80" i="4"/>
  <c r="O80" i="4"/>
  <c r="P80" i="4"/>
  <c r="Q80" i="4"/>
  <c r="R80" i="4"/>
  <c r="S80" i="4"/>
  <c r="T80" i="4"/>
  <c r="U80" i="4"/>
  <c r="M81" i="4"/>
  <c r="N81" i="4"/>
  <c r="O81" i="4"/>
  <c r="P81" i="4"/>
  <c r="Q81" i="4"/>
  <c r="R81" i="4"/>
  <c r="S81" i="4"/>
  <c r="T81" i="4"/>
  <c r="U81" i="4"/>
  <c r="M82" i="4"/>
  <c r="N82" i="4"/>
  <c r="O82" i="4"/>
  <c r="P82" i="4"/>
  <c r="Q82" i="4"/>
  <c r="R82" i="4"/>
  <c r="S82" i="4"/>
  <c r="T82" i="4"/>
  <c r="U82" i="4"/>
  <c r="M83" i="4"/>
  <c r="N83" i="4"/>
  <c r="O83" i="4"/>
  <c r="P83" i="4"/>
  <c r="Q83" i="4"/>
  <c r="R83" i="4"/>
  <c r="S83" i="4"/>
  <c r="T83" i="4"/>
  <c r="U83" i="4"/>
  <c r="M84" i="4"/>
  <c r="N84" i="4"/>
  <c r="O84" i="4"/>
  <c r="P84" i="4"/>
  <c r="Q84" i="4"/>
  <c r="R84" i="4"/>
  <c r="S84" i="4"/>
  <c r="T84" i="4"/>
  <c r="U84" i="4"/>
  <c r="M85" i="4"/>
  <c r="N85" i="4"/>
  <c r="O85" i="4"/>
  <c r="P85" i="4"/>
  <c r="Q85" i="4"/>
  <c r="R85" i="4"/>
  <c r="S85" i="4"/>
  <c r="T85" i="4"/>
  <c r="U85" i="4"/>
  <c r="M86" i="4"/>
  <c r="N86" i="4"/>
  <c r="O86" i="4"/>
  <c r="P86" i="4"/>
  <c r="Q86" i="4"/>
  <c r="R86" i="4"/>
  <c r="S86" i="4"/>
  <c r="T86" i="4"/>
  <c r="U86" i="4"/>
  <c r="M87" i="4"/>
  <c r="N87" i="4"/>
  <c r="O87" i="4"/>
  <c r="P87" i="4"/>
  <c r="Q87" i="4"/>
  <c r="R87" i="4"/>
  <c r="S87" i="4"/>
  <c r="T87" i="4"/>
  <c r="U87" i="4"/>
  <c r="M88" i="4"/>
  <c r="N88" i="4"/>
  <c r="O88" i="4"/>
  <c r="P88" i="4"/>
  <c r="Q88" i="4"/>
  <c r="R88" i="4"/>
  <c r="S88" i="4"/>
  <c r="T88" i="4"/>
  <c r="U88" i="4"/>
  <c r="M90" i="4"/>
  <c r="N90" i="4"/>
  <c r="O90" i="4"/>
  <c r="P90" i="4"/>
  <c r="Q90" i="4"/>
  <c r="R90" i="4"/>
  <c r="S90" i="4"/>
  <c r="T90" i="4"/>
  <c r="U90" i="4"/>
  <c r="M91" i="4"/>
  <c r="N91" i="4"/>
  <c r="O91" i="4"/>
  <c r="P91" i="4"/>
  <c r="Q91" i="4"/>
  <c r="R91" i="4"/>
  <c r="S91" i="4"/>
  <c r="T91" i="4"/>
  <c r="U91" i="4"/>
  <c r="M92" i="4"/>
  <c r="N92" i="4"/>
  <c r="O92" i="4"/>
  <c r="P92" i="4"/>
  <c r="Q92" i="4"/>
  <c r="R92" i="4"/>
  <c r="S92" i="4"/>
  <c r="T92" i="4"/>
  <c r="U92" i="4"/>
  <c r="M93" i="4"/>
  <c r="N93" i="4"/>
  <c r="O93" i="4"/>
  <c r="P93" i="4"/>
  <c r="Q93" i="4"/>
  <c r="R93" i="4"/>
  <c r="S93" i="4"/>
  <c r="T93" i="4"/>
  <c r="U93" i="4"/>
  <c r="M94" i="4"/>
  <c r="N94" i="4"/>
  <c r="O94" i="4"/>
  <c r="P94" i="4"/>
  <c r="Q94" i="4"/>
  <c r="R94" i="4"/>
  <c r="S94" i="4"/>
  <c r="T94" i="4"/>
  <c r="U94" i="4"/>
  <c r="M95" i="4"/>
  <c r="N95" i="4"/>
  <c r="O95" i="4"/>
  <c r="P95" i="4"/>
  <c r="Q95" i="4"/>
  <c r="R95" i="4"/>
  <c r="S95" i="4"/>
  <c r="T95" i="4"/>
  <c r="U95" i="4"/>
  <c r="M96" i="4"/>
  <c r="N96" i="4"/>
  <c r="O96" i="4"/>
  <c r="P96" i="4"/>
  <c r="Q96" i="4"/>
  <c r="R96" i="4"/>
  <c r="S96" i="4"/>
  <c r="T96" i="4"/>
  <c r="U96" i="4"/>
  <c r="M97" i="4"/>
  <c r="N97" i="4"/>
  <c r="O97" i="4"/>
  <c r="P97" i="4"/>
  <c r="Q97" i="4"/>
  <c r="R97" i="4"/>
  <c r="S97" i="4"/>
  <c r="T97" i="4"/>
  <c r="U97" i="4"/>
  <c r="M98" i="4"/>
  <c r="N98" i="4"/>
  <c r="O98" i="4"/>
  <c r="P98" i="4"/>
  <c r="Q98" i="4"/>
  <c r="R98" i="4"/>
  <c r="S98" i="4"/>
  <c r="T98" i="4"/>
  <c r="U98" i="4"/>
  <c r="M99" i="4"/>
  <c r="N99" i="4"/>
  <c r="O99" i="4"/>
  <c r="P99" i="4"/>
  <c r="Q99" i="4"/>
  <c r="R99" i="4"/>
  <c r="S99" i="4"/>
  <c r="T99" i="4"/>
  <c r="U99" i="4"/>
  <c r="M101" i="4"/>
  <c r="N101" i="4"/>
  <c r="O101" i="4"/>
  <c r="P101" i="4"/>
  <c r="Q101" i="4"/>
  <c r="R101" i="4"/>
  <c r="S101" i="4"/>
  <c r="T101" i="4"/>
  <c r="U101" i="4"/>
  <c r="M102" i="4"/>
  <c r="N102" i="4"/>
  <c r="O102" i="4"/>
  <c r="P102" i="4"/>
  <c r="Q102" i="4"/>
  <c r="R102" i="4"/>
  <c r="S102" i="4"/>
  <c r="T102" i="4"/>
  <c r="U102" i="4"/>
  <c r="M103" i="4"/>
  <c r="N103" i="4"/>
  <c r="O103" i="4"/>
  <c r="P103" i="4"/>
  <c r="Q103" i="4"/>
  <c r="R103" i="4"/>
  <c r="S103" i="4"/>
  <c r="T103" i="4"/>
  <c r="U103" i="4"/>
  <c r="M104" i="4"/>
  <c r="N104" i="4"/>
  <c r="O104" i="4"/>
  <c r="P104" i="4"/>
  <c r="Q104" i="4"/>
  <c r="R104" i="4"/>
  <c r="S104" i="4"/>
  <c r="T104" i="4"/>
  <c r="U104" i="4"/>
  <c r="M105" i="4"/>
  <c r="N105" i="4"/>
  <c r="O105" i="4"/>
  <c r="P105" i="4"/>
  <c r="Q105" i="4"/>
  <c r="R105" i="4"/>
  <c r="S105" i="4"/>
  <c r="T105" i="4"/>
  <c r="U105" i="4"/>
  <c r="M106" i="4"/>
  <c r="N106" i="4"/>
  <c r="O106" i="4"/>
  <c r="P106" i="4"/>
  <c r="Q106" i="4"/>
  <c r="R106" i="4"/>
  <c r="S106" i="4"/>
  <c r="T106" i="4"/>
  <c r="U106" i="4"/>
  <c r="M107" i="4"/>
  <c r="N107" i="4"/>
  <c r="O107" i="4"/>
  <c r="P107" i="4"/>
  <c r="Q107" i="4"/>
  <c r="R107" i="4"/>
  <c r="S107" i="4"/>
  <c r="T107" i="4"/>
  <c r="U107" i="4"/>
  <c r="M108" i="4"/>
  <c r="N108" i="4"/>
  <c r="O108" i="4"/>
  <c r="P108" i="4"/>
  <c r="Q108" i="4"/>
  <c r="R108" i="4"/>
  <c r="S108" i="4"/>
  <c r="T108" i="4"/>
  <c r="U108" i="4"/>
  <c r="M109" i="4"/>
  <c r="N109" i="4"/>
  <c r="O109" i="4"/>
  <c r="P109" i="4"/>
  <c r="Q109" i="4"/>
  <c r="R109" i="4"/>
  <c r="S109" i="4"/>
  <c r="T109" i="4"/>
  <c r="U109" i="4"/>
  <c r="M110" i="4"/>
  <c r="N110" i="4"/>
  <c r="O110" i="4"/>
  <c r="P110" i="4"/>
  <c r="Q110" i="4"/>
  <c r="R110" i="4"/>
  <c r="S110" i="4"/>
  <c r="T110" i="4"/>
  <c r="U110" i="4"/>
  <c r="M112" i="4"/>
  <c r="N112" i="4"/>
  <c r="O112" i="4"/>
  <c r="P112" i="4"/>
  <c r="Q112" i="4"/>
  <c r="R112" i="4"/>
  <c r="S112" i="4"/>
  <c r="T112" i="4"/>
  <c r="U112" i="4"/>
  <c r="M113" i="4"/>
  <c r="N113" i="4"/>
  <c r="O113" i="4"/>
  <c r="P113" i="4"/>
  <c r="Q113" i="4"/>
  <c r="R113" i="4"/>
  <c r="S113" i="4"/>
  <c r="T113" i="4"/>
  <c r="U113" i="4"/>
  <c r="M114" i="4"/>
  <c r="N114" i="4"/>
  <c r="O114" i="4"/>
  <c r="P114" i="4"/>
  <c r="Q114" i="4"/>
  <c r="R114" i="4"/>
  <c r="S114" i="4"/>
  <c r="T114" i="4"/>
  <c r="U114" i="4"/>
  <c r="M115" i="4"/>
  <c r="N115" i="4"/>
  <c r="O115" i="4"/>
  <c r="P115" i="4"/>
  <c r="Q115" i="4"/>
  <c r="R115" i="4"/>
  <c r="S115" i="4"/>
  <c r="T115" i="4"/>
  <c r="U115" i="4"/>
  <c r="M116" i="4"/>
  <c r="N116" i="4"/>
  <c r="O116" i="4"/>
  <c r="P116" i="4"/>
  <c r="Q116" i="4"/>
  <c r="R116" i="4"/>
  <c r="S116" i="4"/>
  <c r="T116" i="4"/>
  <c r="U116" i="4"/>
  <c r="M117" i="4"/>
  <c r="N117" i="4"/>
  <c r="O117" i="4"/>
  <c r="P117" i="4"/>
  <c r="Q117" i="4"/>
  <c r="R117" i="4"/>
  <c r="S117" i="4"/>
  <c r="T117" i="4"/>
  <c r="U117" i="4"/>
  <c r="M118" i="4"/>
  <c r="N118" i="4"/>
  <c r="O118" i="4"/>
  <c r="P118" i="4"/>
  <c r="Q118" i="4"/>
  <c r="R118" i="4"/>
  <c r="S118" i="4"/>
  <c r="T118" i="4"/>
  <c r="U118" i="4"/>
  <c r="M119" i="4"/>
  <c r="N119" i="4"/>
  <c r="O119" i="4"/>
  <c r="P119" i="4"/>
  <c r="Q119" i="4"/>
  <c r="R119" i="4"/>
  <c r="S119" i="4"/>
  <c r="T119" i="4"/>
  <c r="U119" i="4"/>
  <c r="M120" i="4"/>
  <c r="N120" i="4"/>
  <c r="O120" i="4"/>
  <c r="P120" i="4"/>
  <c r="Q120" i="4"/>
  <c r="R120" i="4"/>
  <c r="S120" i="4"/>
  <c r="T120" i="4"/>
  <c r="U120" i="4"/>
  <c r="M121" i="4"/>
  <c r="N121" i="4"/>
  <c r="O121" i="4"/>
  <c r="P121" i="4"/>
  <c r="Q121" i="4"/>
  <c r="R121" i="4"/>
  <c r="S121" i="4"/>
  <c r="T121" i="4"/>
  <c r="U121" i="4"/>
  <c r="M123" i="4"/>
  <c r="N123" i="4"/>
  <c r="O123" i="4"/>
  <c r="P123" i="4"/>
  <c r="Q123" i="4"/>
  <c r="R123" i="4"/>
  <c r="S123" i="4"/>
  <c r="T123" i="4"/>
  <c r="U123" i="4"/>
  <c r="M124" i="4"/>
  <c r="N124" i="4"/>
  <c r="O124" i="4"/>
  <c r="P124" i="4"/>
  <c r="Q124" i="4"/>
  <c r="R124" i="4"/>
  <c r="S124" i="4"/>
  <c r="T124" i="4"/>
  <c r="U124" i="4"/>
  <c r="M125" i="4"/>
  <c r="N125" i="4"/>
  <c r="O125" i="4"/>
  <c r="P125" i="4"/>
  <c r="Q125" i="4"/>
  <c r="R125" i="4"/>
  <c r="S125" i="4"/>
  <c r="T125" i="4"/>
  <c r="U125" i="4"/>
  <c r="M126" i="4"/>
  <c r="N126" i="4"/>
  <c r="O126" i="4"/>
  <c r="P126" i="4"/>
  <c r="Q126" i="4"/>
  <c r="R126" i="4"/>
  <c r="S126" i="4"/>
  <c r="T126" i="4"/>
  <c r="U126" i="4"/>
  <c r="M127" i="4"/>
  <c r="N127" i="4"/>
  <c r="O127" i="4"/>
  <c r="P127" i="4"/>
  <c r="Q127" i="4"/>
  <c r="R127" i="4"/>
  <c r="S127" i="4"/>
  <c r="T127" i="4"/>
  <c r="U127" i="4"/>
  <c r="M128" i="4"/>
  <c r="N128" i="4"/>
  <c r="O128" i="4"/>
  <c r="P128" i="4"/>
  <c r="Q128" i="4"/>
  <c r="R128" i="4"/>
  <c r="S128" i="4"/>
  <c r="T128" i="4"/>
  <c r="U128" i="4"/>
  <c r="M129" i="4"/>
  <c r="N129" i="4"/>
  <c r="O129" i="4"/>
  <c r="P129" i="4"/>
  <c r="Q129" i="4"/>
  <c r="R129" i="4"/>
  <c r="S129" i="4"/>
  <c r="T129" i="4"/>
  <c r="U129" i="4"/>
  <c r="M130" i="4"/>
  <c r="N130" i="4"/>
  <c r="O130" i="4"/>
  <c r="P130" i="4"/>
  <c r="Q130" i="4"/>
  <c r="R130" i="4"/>
  <c r="S130" i="4"/>
  <c r="T130" i="4"/>
  <c r="U130" i="4"/>
  <c r="M131" i="4"/>
  <c r="N131" i="4"/>
  <c r="O131" i="4"/>
  <c r="P131" i="4"/>
  <c r="Q131" i="4"/>
  <c r="R131" i="4"/>
  <c r="S131" i="4"/>
  <c r="T131" i="4"/>
  <c r="U131" i="4"/>
  <c r="M132" i="4"/>
  <c r="N132" i="4"/>
  <c r="O132" i="4"/>
  <c r="P132" i="4"/>
  <c r="Q132" i="4"/>
  <c r="R132" i="4"/>
  <c r="S132" i="4"/>
  <c r="T132" i="4"/>
  <c r="U132" i="4"/>
  <c r="M134" i="4"/>
  <c r="N134" i="4"/>
  <c r="O134" i="4"/>
  <c r="P134" i="4"/>
  <c r="Q134" i="4"/>
  <c r="R134" i="4"/>
  <c r="S134" i="4"/>
  <c r="T134" i="4"/>
  <c r="U134" i="4"/>
  <c r="M135" i="4"/>
  <c r="N135" i="4"/>
  <c r="O135" i="4"/>
  <c r="P135" i="4"/>
  <c r="Q135" i="4"/>
  <c r="R135" i="4"/>
  <c r="S135" i="4"/>
  <c r="T135" i="4"/>
  <c r="U135" i="4"/>
  <c r="M136" i="4"/>
  <c r="N136" i="4"/>
  <c r="O136" i="4"/>
  <c r="P136" i="4"/>
  <c r="Q136" i="4"/>
  <c r="R136" i="4"/>
  <c r="S136" i="4"/>
  <c r="T136" i="4"/>
  <c r="U136" i="4"/>
  <c r="M137" i="4"/>
  <c r="N137" i="4"/>
  <c r="O137" i="4"/>
  <c r="P137" i="4"/>
  <c r="Q137" i="4"/>
  <c r="R137" i="4"/>
  <c r="S137" i="4"/>
  <c r="T137" i="4"/>
  <c r="U137" i="4"/>
  <c r="M138" i="4"/>
  <c r="N138" i="4"/>
  <c r="O138" i="4"/>
  <c r="P138" i="4"/>
  <c r="Q138" i="4"/>
  <c r="R138" i="4"/>
  <c r="S138" i="4"/>
  <c r="T138" i="4"/>
  <c r="U138" i="4"/>
  <c r="M139" i="4"/>
  <c r="N139" i="4"/>
  <c r="O139" i="4"/>
  <c r="P139" i="4"/>
  <c r="Q139" i="4"/>
  <c r="R139" i="4"/>
  <c r="S139" i="4"/>
  <c r="T139" i="4"/>
  <c r="U139" i="4"/>
  <c r="M140" i="4"/>
  <c r="N140" i="4"/>
  <c r="O140" i="4"/>
  <c r="P140" i="4"/>
  <c r="Q140" i="4"/>
  <c r="R140" i="4"/>
  <c r="S140" i="4"/>
  <c r="T140" i="4"/>
  <c r="U140" i="4"/>
  <c r="M141" i="4"/>
  <c r="N141" i="4"/>
  <c r="O141" i="4"/>
  <c r="P141" i="4"/>
  <c r="Q141" i="4"/>
  <c r="R141" i="4"/>
  <c r="S141" i="4"/>
  <c r="T141" i="4"/>
  <c r="U141" i="4"/>
  <c r="M142" i="4"/>
  <c r="N142" i="4"/>
  <c r="O142" i="4"/>
  <c r="P142" i="4"/>
  <c r="Q142" i="4"/>
  <c r="R142" i="4"/>
  <c r="S142" i="4"/>
  <c r="T142" i="4"/>
  <c r="U142" i="4"/>
  <c r="M143" i="4"/>
  <c r="N143" i="4"/>
  <c r="O143" i="4"/>
  <c r="P143" i="4"/>
  <c r="Q143" i="4"/>
  <c r="R143" i="4"/>
  <c r="S143" i="4"/>
  <c r="T143" i="4"/>
  <c r="U143" i="4"/>
  <c r="M145" i="4"/>
  <c r="N145" i="4"/>
  <c r="O145" i="4"/>
  <c r="P145" i="4"/>
  <c r="Q145" i="4"/>
  <c r="R145" i="4"/>
  <c r="S145" i="4"/>
  <c r="T145" i="4"/>
  <c r="U145" i="4"/>
  <c r="M146" i="4"/>
  <c r="N146" i="4"/>
  <c r="O146" i="4"/>
  <c r="P146" i="4"/>
  <c r="Q146" i="4"/>
  <c r="R146" i="4"/>
  <c r="S146" i="4"/>
  <c r="T146" i="4"/>
  <c r="U146" i="4"/>
  <c r="M147" i="4"/>
  <c r="N147" i="4"/>
  <c r="O147" i="4"/>
  <c r="P147" i="4"/>
  <c r="Q147" i="4"/>
  <c r="R147" i="4"/>
  <c r="S147" i="4"/>
  <c r="T147" i="4"/>
  <c r="U147" i="4"/>
  <c r="M148" i="4"/>
  <c r="N148" i="4"/>
  <c r="O148" i="4"/>
  <c r="P148" i="4"/>
  <c r="Q148" i="4"/>
  <c r="R148" i="4"/>
  <c r="S148" i="4"/>
  <c r="T148" i="4"/>
  <c r="U148" i="4"/>
  <c r="M149" i="4"/>
  <c r="N149" i="4"/>
  <c r="O149" i="4"/>
  <c r="P149" i="4"/>
  <c r="Q149" i="4"/>
  <c r="R149" i="4"/>
  <c r="S149" i="4"/>
  <c r="T149" i="4"/>
  <c r="U149" i="4"/>
  <c r="M150" i="4"/>
  <c r="N150" i="4"/>
  <c r="O150" i="4"/>
  <c r="P150" i="4"/>
  <c r="Q150" i="4"/>
  <c r="R150" i="4"/>
  <c r="S150" i="4"/>
  <c r="T150" i="4"/>
  <c r="U150" i="4"/>
  <c r="M151" i="4"/>
  <c r="N151" i="4"/>
  <c r="O151" i="4"/>
  <c r="P151" i="4"/>
  <c r="Q151" i="4"/>
  <c r="R151" i="4"/>
  <c r="S151" i="4"/>
  <c r="T151" i="4"/>
  <c r="U151" i="4"/>
  <c r="M152" i="4"/>
  <c r="N152" i="4"/>
  <c r="O152" i="4"/>
  <c r="P152" i="4"/>
  <c r="Q152" i="4"/>
  <c r="R152" i="4"/>
  <c r="S152" i="4"/>
  <c r="T152" i="4"/>
  <c r="U152" i="4"/>
  <c r="M153" i="4"/>
  <c r="N153" i="4"/>
  <c r="O153" i="4"/>
  <c r="P153" i="4"/>
  <c r="Q153" i="4"/>
  <c r="R153" i="4"/>
  <c r="S153" i="4"/>
  <c r="T153" i="4"/>
  <c r="U153" i="4"/>
  <c r="M154" i="4"/>
  <c r="N154" i="4"/>
  <c r="O154" i="4"/>
  <c r="P154" i="4"/>
  <c r="Q154" i="4"/>
  <c r="R154" i="4"/>
  <c r="S154" i="4"/>
  <c r="T154" i="4"/>
  <c r="U154" i="4"/>
  <c r="M156" i="4"/>
  <c r="N156" i="4"/>
  <c r="O156" i="4"/>
  <c r="P156" i="4"/>
  <c r="Q156" i="4"/>
  <c r="R156" i="4"/>
  <c r="S156" i="4"/>
  <c r="T156" i="4"/>
  <c r="U156" i="4"/>
  <c r="M157" i="4"/>
  <c r="N157" i="4"/>
  <c r="O157" i="4"/>
  <c r="P157" i="4"/>
  <c r="Q157" i="4"/>
  <c r="R157" i="4"/>
  <c r="S157" i="4"/>
  <c r="T157" i="4"/>
  <c r="U157" i="4"/>
  <c r="M158" i="4"/>
  <c r="N158" i="4"/>
  <c r="O158" i="4"/>
  <c r="P158" i="4"/>
  <c r="Q158" i="4"/>
  <c r="R158" i="4"/>
  <c r="S158" i="4"/>
  <c r="T158" i="4"/>
  <c r="U158" i="4"/>
  <c r="M159" i="4"/>
  <c r="N159" i="4"/>
  <c r="O159" i="4"/>
  <c r="P159" i="4"/>
  <c r="Q159" i="4"/>
  <c r="R159" i="4"/>
  <c r="S159" i="4"/>
  <c r="T159" i="4"/>
  <c r="U159" i="4"/>
  <c r="M160" i="4"/>
  <c r="N160" i="4"/>
  <c r="O160" i="4"/>
  <c r="P160" i="4"/>
  <c r="Q160" i="4"/>
  <c r="R160" i="4"/>
  <c r="S160" i="4"/>
  <c r="T160" i="4"/>
  <c r="U160" i="4"/>
  <c r="M161" i="4"/>
  <c r="N161" i="4"/>
  <c r="O161" i="4"/>
  <c r="P161" i="4"/>
  <c r="Q161" i="4"/>
  <c r="R161" i="4"/>
  <c r="S161" i="4"/>
  <c r="T161" i="4"/>
  <c r="U161" i="4"/>
  <c r="M162" i="4"/>
  <c r="N162" i="4"/>
  <c r="O162" i="4"/>
  <c r="P162" i="4"/>
  <c r="Q162" i="4"/>
  <c r="R162" i="4"/>
  <c r="S162" i="4"/>
  <c r="T162" i="4"/>
  <c r="U162" i="4"/>
  <c r="M163" i="4"/>
  <c r="N163" i="4"/>
  <c r="O163" i="4"/>
  <c r="P163" i="4"/>
  <c r="Q163" i="4"/>
  <c r="R163" i="4"/>
  <c r="S163" i="4"/>
  <c r="T163" i="4"/>
  <c r="U163" i="4"/>
  <c r="M164" i="4"/>
  <c r="N164" i="4"/>
  <c r="O164" i="4"/>
  <c r="P164" i="4"/>
  <c r="Q164" i="4"/>
  <c r="R164" i="4"/>
  <c r="S164" i="4"/>
  <c r="T164" i="4"/>
  <c r="U164" i="4"/>
  <c r="M165" i="4"/>
  <c r="N165" i="4"/>
  <c r="O165" i="4"/>
  <c r="P165" i="4"/>
  <c r="Q165" i="4"/>
  <c r="R165" i="4"/>
  <c r="S165" i="4"/>
  <c r="T165" i="4"/>
  <c r="U165" i="4"/>
  <c r="M167" i="4"/>
  <c r="N167" i="4"/>
  <c r="O167" i="4"/>
  <c r="P167" i="4"/>
  <c r="Q167" i="4"/>
  <c r="R167" i="4"/>
  <c r="S167" i="4"/>
  <c r="T167" i="4"/>
  <c r="U167" i="4"/>
  <c r="M168" i="4"/>
  <c r="N168" i="4"/>
  <c r="O168" i="4"/>
  <c r="P168" i="4"/>
  <c r="Q168" i="4"/>
  <c r="R168" i="4"/>
  <c r="S168" i="4"/>
  <c r="T168" i="4"/>
  <c r="U168" i="4"/>
  <c r="M169" i="4"/>
  <c r="N169" i="4"/>
  <c r="O169" i="4"/>
  <c r="P169" i="4"/>
  <c r="Q169" i="4"/>
  <c r="R169" i="4"/>
  <c r="S169" i="4"/>
  <c r="T169" i="4"/>
  <c r="U169" i="4"/>
  <c r="M170" i="4"/>
  <c r="N170" i="4"/>
  <c r="O170" i="4"/>
  <c r="P170" i="4"/>
  <c r="Q170" i="4"/>
  <c r="R170" i="4"/>
  <c r="S170" i="4"/>
  <c r="T170" i="4"/>
  <c r="U170" i="4"/>
  <c r="M171" i="4"/>
  <c r="N171" i="4"/>
  <c r="O171" i="4"/>
  <c r="P171" i="4"/>
  <c r="Q171" i="4"/>
  <c r="R171" i="4"/>
  <c r="S171" i="4"/>
  <c r="T171" i="4"/>
  <c r="U171" i="4"/>
  <c r="M172" i="4"/>
  <c r="N172" i="4"/>
  <c r="O172" i="4"/>
  <c r="P172" i="4"/>
  <c r="Q172" i="4"/>
  <c r="R172" i="4"/>
  <c r="S172" i="4"/>
  <c r="T172" i="4"/>
  <c r="U172" i="4"/>
  <c r="M173" i="4"/>
  <c r="N173" i="4"/>
  <c r="O173" i="4"/>
  <c r="P173" i="4"/>
  <c r="Q173" i="4"/>
  <c r="R173" i="4"/>
  <c r="S173" i="4"/>
  <c r="T173" i="4"/>
  <c r="U173" i="4"/>
  <c r="M174" i="4"/>
  <c r="N174" i="4"/>
  <c r="O174" i="4"/>
  <c r="P174" i="4"/>
  <c r="Q174" i="4"/>
  <c r="R174" i="4"/>
  <c r="S174" i="4"/>
  <c r="T174" i="4"/>
  <c r="U174" i="4"/>
  <c r="M175" i="4"/>
  <c r="N175" i="4"/>
  <c r="O175" i="4"/>
  <c r="P175" i="4"/>
  <c r="Q175" i="4"/>
  <c r="R175" i="4"/>
  <c r="S175" i="4"/>
  <c r="T175" i="4"/>
  <c r="U175" i="4"/>
  <c r="M176" i="4"/>
  <c r="N176" i="4"/>
  <c r="O176" i="4"/>
  <c r="P176" i="4"/>
  <c r="Q176" i="4"/>
  <c r="R176" i="4"/>
  <c r="S176" i="4"/>
  <c r="T176" i="4"/>
  <c r="U176" i="4"/>
  <c r="M178" i="4"/>
  <c r="N178" i="4"/>
  <c r="O178" i="4"/>
  <c r="P178" i="4"/>
  <c r="Q178" i="4"/>
  <c r="R178" i="4"/>
  <c r="S178" i="4"/>
  <c r="T178" i="4"/>
  <c r="U178" i="4"/>
  <c r="M179" i="4"/>
  <c r="N179" i="4"/>
  <c r="O179" i="4"/>
  <c r="P179" i="4"/>
  <c r="Q179" i="4"/>
  <c r="R179" i="4"/>
  <c r="S179" i="4"/>
  <c r="T179" i="4"/>
  <c r="U179" i="4"/>
  <c r="M180" i="4"/>
  <c r="N180" i="4"/>
  <c r="O180" i="4"/>
  <c r="P180" i="4"/>
  <c r="Q180" i="4"/>
  <c r="R180" i="4"/>
  <c r="S180" i="4"/>
  <c r="T180" i="4"/>
  <c r="U180" i="4"/>
  <c r="M181" i="4"/>
  <c r="N181" i="4"/>
  <c r="O181" i="4"/>
  <c r="P181" i="4"/>
  <c r="Q181" i="4"/>
  <c r="R181" i="4"/>
  <c r="S181" i="4"/>
  <c r="T181" i="4"/>
  <c r="U181" i="4"/>
  <c r="M182" i="4"/>
  <c r="N182" i="4"/>
  <c r="O182" i="4"/>
  <c r="P182" i="4"/>
  <c r="Q182" i="4"/>
  <c r="R182" i="4"/>
  <c r="S182" i="4"/>
  <c r="T182" i="4"/>
  <c r="U182" i="4"/>
  <c r="M183" i="4"/>
  <c r="N183" i="4"/>
  <c r="O183" i="4"/>
  <c r="P183" i="4"/>
  <c r="Q183" i="4"/>
  <c r="R183" i="4"/>
  <c r="S183" i="4"/>
  <c r="T183" i="4"/>
  <c r="U183" i="4"/>
  <c r="M184" i="4"/>
  <c r="N184" i="4"/>
  <c r="O184" i="4"/>
  <c r="P184" i="4"/>
  <c r="Q184" i="4"/>
  <c r="R184" i="4"/>
  <c r="S184" i="4"/>
  <c r="T184" i="4"/>
  <c r="U184" i="4"/>
  <c r="M185" i="4"/>
  <c r="N185" i="4"/>
  <c r="O185" i="4"/>
  <c r="P185" i="4"/>
  <c r="Q185" i="4"/>
  <c r="R185" i="4"/>
  <c r="S185" i="4"/>
  <c r="T185" i="4"/>
  <c r="U185" i="4"/>
  <c r="M186" i="4"/>
  <c r="N186" i="4"/>
  <c r="O186" i="4"/>
  <c r="P186" i="4"/>
  <c r="Q186" i="4"/>
  <c r="R186" i="4"/>
  <c r="S186" i="4"/>
  <c r="T186" i="4"/>
  <c r="U186" i="4"/>
  <c r="M188" i="4"/>
  <c r="N188" i="4"/>
  <c r="O188" i="4"/>
  <c r="P188" i="4"/>
  <c r="Q188" i="4"/>
  <c r="R188" i="4"/>
  <c r="S188" i="4"/>
  <c r="T188" i="4"/>
  <c r="U188" i="4"/>
  <c r="M189" i="4"/>
  <c r="N189" i="4"/>
  <c r="O189" i="4"/>
  <c r="P189" i="4"/>
  <c r="Q189" i="4"/>
  <c r="R189" i="4"/>
  <c r="S189" i="4"/>
  <c r="T189" i="4"/>
  <c r="U189" i="4"/>
  <c r="M190" i="4"/>
  <c r="N190" i="4"/>
  <c r="O190" i="4"/>
  <c r="P190" i="4"/>
  <c r="Q190" i="4"/>
  <c r="R190" i="4"/>
  <c r="S190" i="4"/>
  <c r="T190" i="4"/>
  <c r="U190" i="4"/>
  <c r="M191" i="4"/>
  <c r="N191" i="4"/>
  <c r="O191" i="4"/>
  <c r="P191" i="4"/>
  <c r="Q191" i="4"/>
  <c r="R191" i="4"/>
  <c r="S191" i="4"/>
  <c r="T191" i="4"/>
  <c r="U191" i="4"/>
  <c r="M192" i="4"/>
  <c r="N192" i="4"/>
  <c r="O192" i="4"/>
  <c r="P192" i="4"/>
  <c r="Q192" i="4"/>
  <c r="R192" i="4"/>
  <c r="S192" i="4"/>
  <c r="T192" i="4"/>
  <c r="U192" i="4"/>
  <c r="M193" i="4"/>
  <c r="N193" i="4"/>
  <c r="O193" i="4"/>
  <c r="P193" i="4"/>
  <c r="Q193" i="4"/>
  <c r="R193" i="4"/>
  <c r="S193" i="4"/>
  <c r="T193" i="4"/>
  <c r="U193" i="4"/>
  <c r="M194" i="4"/>
  <c r="N194" i="4"/>
  <c r="O194" i="4"/>
  <c r="P194" i="4"/>
  <c r="Q194" i="4"/>
  <c r="R194" i="4"/>
  <c r="S194" i="4"/>
  <c r="T194" i="4"/>
  <c r="U194" i="4"/>
  <c r="M195" i="4"/>
  <c r="N195" i="4"/>
  <c r="O195" i="4"/>
  <c r="P195" i="4"/>
  <c r="Q195" i="4"/>
  <c r="R195" i="4"/>
  <c r="S195" i="4"/>
  <c r="T195" i="4"/>
  <c r="U195" i="4"/>
  <c r="M196" i="4"/>
  <c r="N196" i="4"/>
  <c r="O196" i="4"/>
  <c r="P196" i="4"/>
  <c r="Q196" i="4"/>
  <c r="R196" i="4"/>
  <c r="S196" i="4"/>
  <c r="T196" i="4"/>
  <c r="U196" i="4"/>
  <c r="M197" i="4"/>
  <c r="N197" i="4"/>
  <c r="O197" i="4"/>
  <c r="P197" i="4"/>
  <c r="Q197" i="4"/>
  <c r="R197" i="4"/>
  <c r="S197" i="4"/>
  <c r="T197" i="4"/>
  <c r="U197" i="4"/>
  <c r="M199" i="4"/>
  <c r="N199" i="4"/>
  <c r="O199" i="4"/>
  <c r="P199" i="4"/>
  <c r="Q199" i="4"/>
  <c r="R199" i="4"/>
  <c r="S199" i="4"/>
  <c r="T199" i="4"/>
  <c r="U199" i="4"/>
  <c r="M200" i="4"/>
  <c r="N200" i="4"/>
  <c r="O200" i="4"/>
  <c r="P200" i="4"/>
  <c r="Q200" i="4"/>
  <c r="R200" i="4"/>
  <c r="S200" i="4"/>
  <c r="T200" i="4"/>
  <c r="U200" i="4"/>
  <c r="M201" i="4"/>
  <c r="N201" i="4"/>
  <c r="O201" i="4"/>
  <c r="P201" i="4"/>
  <c r="Q201" i="4"/>
  <c r="R201" i="4"/>
  <c r="S201" i="4"/>
  <c r="T201" i="4"/>
  <c r="U201" i="4"/>
  <c r="M202" i="4"/>
  <c r="N202" i="4"/>
  <c r="O202" i="4"/>
  <c r="P202" i="4"/>
  <c r="Q202" i="4"/>
  <c r="R202" i="4"/>
  <c r="S202" i="4"/>
  <c r="T202" i="4"/>
  <c r="U202" i="4"/>
  <c r="M203" i="4"/>
  <c r="N203" i="4"/>
  <c r="O203" i="4"/>
  <c r="P203" i="4"/>
  <c r="Q203" i="4"/>
  <c r="R203" i="4"/>
  <c r="S203" i="4"/>
  <c r="T203" i="4"/>
  <c r="U203" i="4"/>
  <c r="M204" i="4"/>
  <c r="N204" i="4"/>
  <c r="O204" i="4"/>
  <c r="P204" i="4"/>
  <c r="Q204" i="4"/>
  <c r="R204" i="4"/>
  <c r="S204" i="4"/>
  <c r="T204" i="4"/>
  <c r="U204" i="4"/>
  <c r="M205" i="4"/>
  <c r="N205" i="4"/>
  <c r="O205" i="4"/>
  <c r="P205" i="4"/>
  <c r="Q205" i="4"/>
  <c r="R205" i="4"/>
  <c r="S205" i="4"/>
  <c r="T205" i="4"/>
  <c r="U205" i="4"/>
  <c r="M206" i="4"/>
  <c r="N206" i="4"/>
  <c r="O206" i="4"/>
  <c r="P206" i="4"/>
  <c r="Q206" i="4"/>
  <c r="R206" i="4"/>
  <c r="S206" i="4"/>
  <c r="T206" i="4"/>
  <c r="U206" i="4"/>
  <c r="M207" i="4"/>
  <c r="N207" i="4"/>
  <c r="O207" i="4"/>
  <c r="P207" i="4"/>
  <c r="Q207" i="4"/>
  <c r="R207" i="4"/>
  <c r="S207" i="4"/>
  <c r="T207" i="4"/>
  <c r="U207" i="4"/>
  <c r="M208" i="4"/>
  <c r="N208" i="4"/>
  <c r="O208" i="4"/>
  <c r="P208" i="4"/>
  <c r="Q208" i="4"/>
  <c r="R208" i="4"/>
  <c r="S208" i="4"/>
  <c r="T208" i="4"/>
  <c r="U208" i="4"/>
  <c r="M210" i="4"/>
  <c r="N210" i="4"/>
  <c r="O210" i="4"/>
  <c r="P210" i="4"/>
  <c r="Q210" i="4"/>
  <c r="R210" i="4"/>
  <c r="S210" i="4"/>
  <c r="T210" i="4"/>
  <c r="U210" i="4"/>
  <c r="M211" i="4"/>
  <c r="N211" i="4"/>
  <c r="O211" i="4"/>
  <c r="P211" i="4"/>
  <c r="Q211" i="4"/>
  <c r="R211" i="4"/>
  <c r="S211" i="4"/>
  <c r="T211" i="4"/>
  <c r="U211" i="4"/>
  <c r="M212" i="4"/>
  <c r="N212" i="4"/>
  <c r="O212" i="4"/>
  <c r="P212" i="4"/>
  <c r="Q212" i="4"/>
  <c r="R212" i="4"/>
  <c r="S212" i="4"/>
  <c r="T212" i="4"/>
  <c r="U212" i="4"/>
  <c r="M213" i="4"/>
  <c r="N213" i="4"/>
  <c r="O213" i="4"/>
  <c r="P213" i="4"/>
  <c r="Q213" i="4"/>
  <c r="R213" i="4"/>
  <c r="S213" i="4"/>
  <c r="T213" i="4"/>
  <c r="U213" i="4"/>
  <c r="M214" i="4"/>
  <c r="N214" i="4"/>
  <c r="O214" i="4"/>
  <c r="P214" i="4"/>
  <c r="Q214" i="4"/>
  <c r="R214" i="4"/>
  <c r="S214" i="4"/>
  <c r="T214" i="4"/>
  <c r="U214" i="4"/>
  <c r="M215" i="4"/>
  <c r="N215" i="4"/>
  <c r="O215" i="4"/>
  <c r="P215" i="4"/>
  <c r="Q215" i="4"/>
  <c r="R215" i="4"/>
  <c r="S215" i="4"/>
  <c r="T215" i="4"/>
  <c r="U215" i="4"/>
  <c r="M216" i="4"/>
  <c r="N216" i="4"/>
  <c r="O216" i="4"/>
  <c r="P216" i="4"/>
  <c r="Q216" i="4"/>
  <c r="R216" i="4"/>
  <c r="S216" i="4"/>
  <c r="T216" i="4"/>
  <c r="U216" i="4"/>
  <c r="M217" i="4"/>
  <c r="N217" i="4"/>
  <c r="O217" i="4"/>
  <c r="P217" i="4"/>
  <c r="Q217" i="4"/>
  <c r="R217" i="4"/>
  <c r="S217" i="4"/>
  <c r="T217" i="4"/>
  <c r="U217" i="4"/>
  <c r="M218" i="4"/>
  <c r="N218" i="4"/>
  <c r="O218" i="4"/>
  <c r="P218" i="4"/>
  <c r="Q218" i="4"/>
  <c r="R218" i="4"/>
  <c r="S218" i="4"/>
  <c r="T218" i="4"/>
  <c r="U218" i="4"/>
  <c r="M219" i="4"/>
  <c r="N219" i="4"/>
  <c r="O219" i="4"/>
  <c r="P219" i="4"/>
  <c r="Q219" i="4"/>
  <c r="R219" i="4"/>
  <c r="S219" i="4"/>
  <c r="T219" i="4"/>
  <c r="U219" i="4"/>
  <c r="M221" i="4"/>
  <c r="N221" i="4"/>
  <c r="O221" i="4"/>
  <c r="P221" i="4"/>
  <c r="Q221" i="4"/>
  <c r="R221" i="4"/>
  <c r="S221" i="4"/>
  <c r="T221" i="4"/>
  <c r="U221" i="4"/>
  <c r="M222" i="4"/>
  <c r="N222" i="4"/>
  <c r="O222" i="4"/>
  <c r="P222" i="4"/>
  <c r="Q222" i="4"/>
  <c r="R222" i="4"/>
  <c r="S222" i="4"/>
  <c r="T222" i="4"/>
  <c r="U222" i="4"/>
  <c r="M223" i="4"/>
  <c r="N223" i="4"/>
  <c r="O223" i="4"/>
  <c r="P223" i="4"/>
  <c r="Q223" i="4"/>
  <c r="R223" i="4"/>
  <c r="S223" i="4"/>
  <c r="T223" i="4"/>
  <c r="U223" i="4"/>
  <c r="M224" i="4"/>
  <c r="N224" i="4"/>
  <c r="O224" i="4"/>
  <c r="P224" i="4"/>
  <c r="Q224" i="4"/>
  <c r="R224" i="4"/>
  <c r="S224" i="4"/>
  <c r="T224" i="4"/>
  <c r="U224" i="4"/>
  <c r="M225" i="4"/>
  <c r="N225" i="4"/>
  <c r="O225" i="4"/>
  <c r="P225" i="4"/>
  <c r="Q225" i="4"/>
  <c r="R225" i="4"/>
  <c r="S225" i="4"/>
  <c r="T225" i="4"/>
  <c r="U225" i="4"/>
  <c r="M226" i="4"/>
  <c r="N226" i="4"/>
  <c r="O226" i="4"/>
  <c r="P226" i="4"/>
  <c r="Q226" i="4"/>
  <c r="R226" i="4"/>
  <c r="S226" i="4"/>
  <c r="T226" i="4"/>
  <c r="U226" i="4"/>
  <c r="M227" i="4"/>
  <c r="N227" i="4"/>
  <c r="O227" i="4"/>
  <c r="P227" i="4"/>
  <c r="Q227" i="4"/>
  <c r="R227" i="4"/>
  <c r="S227" i="4"/>
  <c r="T227" i="4"/>
  <c r="U227" i="4"/>
  <c r="M228" i="4"/>
  <c r="N228" i="4"/>
  <c r="O228" i="4"/>
  <c r="P228" i="4"/>
  <c r="Q228" i="4"/>
  <c r="R228" i="4"/>
  <c r="S228" i="4"/>
  <c r="T228" i="4"/>
  <c r="U228" i="4"/>
  <c r="M229" i="4"/>
  <c r="N229" i="4"/>
  <c r="O229" i="4"/>
  <c r="P229" i="4"/>
  <c r="Q229" i="4"/>
  <c r="R229" i="4"/>
  <c r="S229" i="4"/>
  <c r="T229" i="4"/>
  <c r="U229" i="4"/>
  <c r="M230" i="4"/>
  <c r="N230" i="4"/>
  <c r="O230" i="4"/>
  <c r="P230" i="4"/>
  <c r="Q230" i="4"/>
  <c r="R230" i="4"/>
  <c r="S230" i="4"/>
  <c r="T230" i="4"/>
  <c r="U230" i="4"/>
  <c r="M232" i="4"/>
  <c r="N232" i="4"/>
  <c r="O232" i="4"/>
  <c r="P232" i="4"/>
  <c r="Q232" i="4"/>
  <c r="R232" i="4"/>
  <c r="S232" i="4"/>
  <c r="T232" i="4"/>
  <c r="U232" i="4"/>
  <c r="M233" i="4"/>
  <c r="N233" i="4"/>
  <c r="O233" i="4"/>
  <c r="P233" i="4"/>
  <c r="Q233" i="4"/>
  <c r="R233" i="4"/>
  <c r="S233" i="4"/>
  <c r="T233" i="4"/>
  <c r="U233" i="4"/>
  <c r="M234" i="4"/>
  <c r="N234" i="4"/>
  <c r="O234" i="4"/>
  <c r="P234" i="4"/>
  <c r="Q234" i="4"/>
  <c r="R234" i="4"/>
  <c r="S234" i="4"/>
  <c r="T234" i="4"/>
  <c r="U234" i="4"/>
  <c r="M235" i="4"/>
  <c r="N235" i="4"/>
  <c r="O235" i="4"/>
  <c r="P235" i="4"/>
  <c r="Q235" i="4"/>
  <c r="R235" i="4"/>
  <c r="S235" i="4"/>
  <c r="T235" i="4"/>
  <c r="U235" i="4"/>
  <c r="M236" i="4"/>
  <c r="N236" i="4"/>
  <c r="O236" i="4"/>
  <c r="P236" i="4"/>
  <c r="Q236" i="4"/>
  <c r="R236" i="4"/>
  <c r="S236" i="4"/>
  <c r="T236" i="4"/>
  <c r="U236" i="4"/>
  <c r="M237" i="4"/>
  <c r="N237" i="4"/>
  <c r="O237" i="4"/>
  <c r="P237" i="4"/>
  <c r="Q237" i="4"/>
  <c r="R237" i="4"/>
  <c r="S237" i="4"/>
  <c r="T237" i="4"/>
  <c r="U237" i="4"/>
  <c r="M238" i="4"/>
  <c r="N238" i="4"/>
  <c r="O238" i="4"/>
  <c r="P238" i="4"/>
  <c r="Q238" i="4"/>
  <c r="R238" i="4"/>
  <c r="S238" i="4"/>
  <c r="T238" i="4"/>
  <c r="U238" i="4"/>
  <c r="M239" i="4"/>
  <c r="N239" i="4"/>
  <c r="O239" i="4"/>
  <c r="P239" i="4"/>
  <c r="Q239" i="4"/>
  <c r="R239" i="4"/>
  <c r="S239" i="4"/>
  <c r="T239" i="4"/>
  <c r="U239" i="4"/>
  <c r="M240" i="4"/>
  <c r="N240" i="4"/>
  <c r="O240" i="4"/>
  <c r="P240" i="4"/>
  <c r="Q240" i="4"/>
  <c r="R240" i="4"/>
  <c r="S240" i="4"/>
  <c r="T240" i="4"/>
  <c r="U240" i="4"/>
  <c r="M241" i="4"/>
  <c r="N241" i="4"/>
  <c r="O241" i="4"/>
  <c r="P241" i="4"/>
  <c r="Q241" i="4"/>
  <c r="R241" i="4"/>
  <c r="S241" i="4"/>
  <c r="T241" i="4"/>
  <c r="U241" i="4"/>
  <c r="M243" i="4"/>
  <c r="N243" i="4"/>
  <c r="O243" i="4"/>
  <c r="P243" i="4"/>
  <c r="Q243" i="4"/>
  <c r="R243" i="4"/>
  <c r="S243" i="4"/>
  <c r="T243" i="4"/>
  <c r="U243" i="4"/>
  <c r="M244" i="4"/>
  <c r="N244" i="4"/>
  <c r="O244" i="4"/>
  <c r="P244" i="4"/>
  <c r="Q244" i="4"/>
  <c r="R244" i="4"/>
  <c r="S244" i="4"/>
  <c r="T244" i="4"/>
  <c r="U244" i="4"/>
  <c r="M245" i="4"/>
  <c r="N245" i="4"/>
  <c r="O245" i="4"/>
  <c r="P245" i="4"/>
  <c r="Q245" i="4"/>
  <c r="R245" i="4"/>
  <c r="S245" i="4"/>
  <c r="T245" i="4"/>
  <c r="U245" i="4"/>
  <c r="M246" i="4"/>
  <c r="N246" i="4"/>
  <c r="O246" i="4"/>
  <c r="P246" i="4"/>
  <c r="Q246" i="4"/>
  <c r="R246" i="4"/>
  <c r="S246" i="4"/>
  <c r="T246" i="4"/>
  <c r="U246" i="4"/>
  <c r="M247" i="4"/>
  <c r="N247" i="4"/>
  <c r="O247" i="4"/>
  <c r="P247" i="4"/>
  <c r="Q247" i="4"/>
  <c r="R247" i="4"/>
  <c r="S247" i="4"/>
  <c r="T247" i="4"/>
  <c r="U247" i="4"/>
  <c r="M248" i="4"/>
  <c r="N248" i="4"/>
  <c r="O248" i="4"/>
  <c r="P248" i="4"/>
  <c r="Q248" i="4"/>
  <c r="R248" i="4"/>
  <c r="S248" i="4"/>
  <c r="T248" i="4"/>
  <c r="U248" i="4"/>
  <c r="M249" i="4"/>
  <c r="N249" i="4"/>
  <c r="O249" i="4"/>
  <c r="P249" i="4"/>
  <c r="Q249" i="4"/>
  <c r="R249" i="4"/>
  <c r="S249" i="4"/>
  <c r="T249" i="4"/>
  <c r="U249" i="4"/>
  <c r="M250" i="4"/>
  <c r="N250" i="4"/>
  <c r="O250" i="4"/>
  <c r="P250" i="4"/>
  <c r="Q250" i="4"/>
  <c r="R250" i="4"/>
  <c r="S250" i="4"/>
  <c r="T250" i="4"/>
  <c r="U250" i="4"/>
  <c r="M251" i="4"/>
  <c r="N251" i="4"/>
  <c r="O251" i="4"/>
  <c r="P251" i="4"/>
  <c r="Q251" i="4"/>
  <c r="R251" i="4"/>
  <c r="S251" i="4"/>
  <c r="T251" i="4"/>
  <c r="U251" i="4"/>
  <c r="M252" i="4"/>
  <c r="N252" i="4"/>
  <c r="O252" i="4"/>
  <c r="P252" i="4"/>
  <c r="Q252" i="4"/>
  <c r="R252" i="4"/>
  <c r="S252" i="4"/>
  <c r="T252" i="4"/>
  <c r="U252" i="4"/>
  <c r="M254" i="4"/>
  <c r="N254" i="4"/>
  <c r="O254" i="4"/>
  <c r="P254" i="4"/>
  <c r="Q254" i="4"/>
  <c r="R254" i="4"/>
  <c r="S254" i="4"/>
  <c r="T254" i="4"/>
  <c r="U254" i="4"/>
  <c r="M255" i="4"/>
  <c r="N255" i="4"/>
  <c r="O255" i="4"/>
  <c r="P255" i="4"/>
  <c r="Q255" i="4"/>
  <c r="R255" i="4"/>
  <c r="S255" i="4"/>
  <c r="T255" i="4"/>
  <c r="U255" i="4"/>
  <c r="M256" i="4"/>
  <c r="N256" i="4"/>
  <c r="O256" i="4"/>
  <c r="P256" i="4"/>
  <c r="Q256" i="4"/>
  <c r="R256" i="4"/>
  <c r="S256" i="4"/>
  <c r="T256" i="4"/>
  <c r="U256" i="4"/>
  <c r="M257" i="4"/>
  <c r="N257" i="4"/>
  <c r="O257" i="4"/>
  <c r="P257" i="4"/>
  <c r="Q257" i="4"/>
  <c r="R257" i="4"/>
  <c r="S257" i="4"/>
  <c r="T257" i="4"/>
  <c r="U257" i="4"/>
  <c r="M258" i="4"/>
  <c r="N258" i="4"/>
  <c r="O258" i="4"/>
  <c r="P258" i="4"/>
  <c r="Q258" i="4"/>
  <c r="R258" i="4"/>
  <c r="S258" i="4"/>
  <c r="T258" i="4"/>
  <c r="U258" i="4"/>
  <c r="M259" i="4"/>
  <c r="N259" i="4"/>
  <c r="O259" i="4"/>
  <c r="P259" i="4"/>
  <c r="Q259" i="4"/>
  <c r="R259" i="4"/>
  <c r="S259" i="4"/>
  <c r="T259" i="4"/>
  <c r="U259" i="4"/>
  <c r="M260" i="4"/>
  <c r="N260" i="4"/>
  <c r="O260" i="4"/>
  <c r="P260" i="4"/>
  <c r="Q260" i="4"/>
  <c r="R260" i="4"/>
  <c r="S260" i="4"/>
  <c r="T260" i="4"/>
  <c r="U260" i="4"/>
  <c r="M261" i="4"/>
  <c r="N261" i="4"/>
  <c r="O261" i="4"/>
  <c r="P261" i="4"/>
  <c r="Q261" i="4"/>
  <c r="R261" i="4"/>
  <c r="S261" i="4"/>
  <c r="T261" i="4"/>
  <c r="U261" i="4"/>
  <c r="M262" i="4"/>
  <c r="N262" i="4"/>
  <c r="O262" i="4"/>
  <c r="P262" i="4"/>
  <c r="Q262" i="4"/>
  <c r="R262" i="4"/>
  <c r="S262" i="4"/>
  <c r="T262" i="4"/>
  <c r="U262" i="4"/>
  <c r="M263" i="4"/>
  <c r="N263" i="4"/>
  <c r="O263" i="4"/>
  <c r="P263" i="4"/>
  <c r="Q263" i="4"/>
  <c r="R263" i="4"/>
  <c r="S263" i="4"/>
  <c r="T263" i="4"/>
  <c r="U263" i="4"/>
  <c r="M265" i="4"/>
  <c r="N265" i="4"/>
  <c r="O265" i="4"/>
  <c r="P265" i="4"/>
  <c r="Q265" i="4"/>
  <c r="R265" i="4"/>
  <c r="S265" i="4"/>
  <c r="T265" i="4"/>
  <c r="U265" i="4"/>
  <c r="M266" i="4"/>
  <c r="N266" i="4"/>
  <c r="O266" i="4"/>
  <c r="P266" i="4"/>
  <c r="Q266" i="4"/>
  <c r="R266" i="4"/>
  <c r="S266" i="4"/>
  <c r="T266" i="4"/>
  <c r="U266" i="4"/>
  <c r="M267" i="4"/>
  <c r="N267" i="4"/>
  <c r="O267" i="4"/>
  <c r="P267" i="4"/>
  <c r="Q267" i="4"/>
  <c r="R267" i="4"/>
  <c r="S267" i="4"/>
  <c r="T267" i="4"/>
  <c r="U267" i="4"/>
  <c r="M268" i="4"/>
  <c r="N268" i="4"/>
  <c r="O268" i="4"/>
  <c r="P268" i="4"/>
  <c r="Q268" i="4"/>
  <c r="R268" i="4"/>
  <c r="S268" i="4"/>
  <c r="T268" i="4"/>
  <c r="U268" i="4"/>
  <c r="M269" i="4"/>
  <c r="N269" i="4"/>
  <c r="O269" i="4"/>
  <c r="P269" i="4"/>
  <c r="Q269" i="4"/>
  <c r="R269" i="4"/>
  <c r="S269" i="4"/>
  <c r="T269" i="4"/>
  <c r="U269" i="4"/>
  <c r="M270" i="4"/>
  <c r="N270" i="4"/>
  <c r="O270" i="4"/>
  <c r="P270" i="4"/>
  <c r="Q270" i="4"/>
  <c r="R270" i="4"/>
  <c r="S270" i="4"/>
  <c r="T270" i="4"/>
  <c r="U270" i="4"/>
  <c r="M271" i="4"/>
  <c r="N271" i="4"/>
  <c r="O271" i="4"/>
  <c r="P271" i="4"/>
  <c r="Q271" i="4"/>
  <c r="R271" i="4"/>
  <c r="S271" i="4"/>
  <c r="T271" i="4"/>
  <c r="U271" i="4"/>
  <c r="M272" i="4"/>
  <c r="N272" i="4"/>
  <c r="O272" i="4"/>
  <c r="P272" i="4"/>
  <c r="Q272" i="4"/>
  <c r="R272" i="4"/>
  <c r="S272" i="4"/>
  <c r="T272" i="4"/>
  <c r="U272" i="4"/>
  <c r="M273" i="4"/>
  <c r="N273" i="4"/>
  <c r="O273" i="4"/>
  <c r="P273" i="4"/>
  <c r="Q273" i="4"/>
  <c r="R273" i="4"/>
  <c r="S273" i="4"/>
  <c r="T273" i="4"/>
  <c r="U273" i="4"/>
  <c r="M274" i="4"/>
  <c r="N274" i="4"/>
  <c r="O274" i="4"/>
  <c r="P274" i="4"/>
  <c r="Q274" i="4"/>
  <c r="R274" i="4"/>
  <c r="S274" i="4"/>
  <c r="T274" i="4"/>
  <c r="U274" i="4"/>
  <c r="M276" i="4"/>
  <c r="N276" i="4"/>
  <c r="O276" i="4"/>
  <c r="P276" i="4"/>
  <c r="Q276" i="4"/>
  <c r="R276" i="4"/>
  <c r="S276" i="4"/>
  <c r="T276" i="4"/>
  <c r="U276" i="4"/>
  <c r="M277" i="4"/>
  <c r="N277" i="4"/>
  <c r="O277" i="4"/>
  <c r="P277" i="4"/>
  <c r="Q277" i="4"/>
  <c r="R277" i="4"/>
  <c r="S277" i="4"/>
  <c r="T277" i="4"/>
  <c r="U277" i="4"/>
  <c r="M278" i="4"/>
  <c r="N278" i="4"/>
  <c r="O278" i="4"/>
  <c r="P278" i="4"/>
  <c r="Q278" i="4"/>
  <c r="R278" i="4"/>
  <c r="S278" i="4"/>
  <c r="T278" i="4"/>
  <c r="U278" i="4"/>
  <c r="M279" i="4"/>
  <c r="N279" i="4"/>
  <c r="O279" i="4"/>
  <c r="P279" i="4"/>
  <c r="Q279" i="4"/>
  <c r="R279" i="4"/>
  <c r="S279" i="4"/>
  <c r="T279" i="4"/>
  <c r="U279" i="4"/>
  <c r="M280" i="4"/>
  <c r="N280" i="4"/>
  <c r="O280" i="4"/>
  <c r="P280" i="4"/>
  <c r="Q280" i="4"/>
  <c r="R280" i="4"/>
  <c r="S280" i="4"/>
  <c r="T280" i="4"/>
  <c r="U280" i="4"/>
  <c r="M281" i="4"/>
  <c r="N281" i="4"/>
  <c r="O281" i="4"/>
  <c r="P281" i="4"/>
  <c r="Q281" i="4"/>
  <c r="R281" i="4"/>
  <c r="S281" i="4"/>
  <c r="T281" i="4"/>
  <c r="U281" i="4"/>
  <c r="M282" i="4"/>
  <c r="N282" i="4"/>
  <c r="O282" i="4"/>
  <c r="P282" i="4"/>
  <c r="Q282" i="4"/>
  <c r="R282" i="4"/>
  <c r="S282" i="4"/>
  <c r="T282" i="4"/>
  <c r="U282" i="4"/>
  <c r="M283" i="4"/>
  <c r="N283" i="4"/>
  <c r="O283" i="4"/>
  <c r="P283" i="4"/>
  <c r="Q283" i="4"/>
  <c r="R283" i="4"/>
  <c r="S283" i="4"/>
  <c r="T283" i="4"/>
  <c r="U283" i="4"/>
  <c r="M284" i="4"/>
  <c r="N284" i="4"/>
  <c r="O284" i="4"/>
  <c r="P284" i="4"/>
  <c r="Q284" i="4"/>
  <c r="R284" i="4"/>
  <c r="S284" i="4"/>
  <c r="T284" i="4"/>
  <c r="U284" i="4"/>
  <c r="M285" i="4"/>
  <c r="N285" i="4"/>
  <c r="O285" i="4"/>
  <c r="P285" i="4"/>
  <c r="Q285" i="4"/>
  <c r="R285" i="4"/>
  <c r="S285" i="4"/>
  <c r="T285" i="4"/>
  <c r="U285" i="4"/>
  <c r="M287" i="4"/>
  <c r="N287" i="4"/>
  <c r="O287" i="4"/>
  <c r="P287" i="4"/>
  <c r="Q287" i="4"/>
  <c r="R287" i="4"/>
  <c r="S287" i="4"/>
  <c r="T287" i="4"/>
  <c r="U287" i="4"/>
  <c r="M288" i="4"/>
  <c r="N288" i="4"/>
  <c r="O288" i="4"/>
  <c r="P288" i="4"/>
  <c r="Q288" i="4"/>
  <c r="R288" i="4"/>
  <c r="S288" i="4"/>
  <c r="T288" i="4"/>
  <c r="U288" i="4"/>
  <c r="M289" i="4"/>
  <c r="N289" i="4"/>
  <c r="O289" i="4"/>
  <c r="P289" i="4"/>
  <c r="Q289" i="4"/>
  <c r="R289" i="4"/>
  <c r="S289" i="4"/>
  <c r="T289" i="4"/>
  <c r="U289" i="4"/>
  <c r="M290" i="4"/>
  <c r="N290" i="4"/>
  <c r="O290" i="4"/>
  <c r="P290" i="4"/>
  <c r="Q290" i="4"/>
  <c r="R290" i="4"/>
  <c r="S290" i="4"/>
  <c r="T290" i="4"/>
  <c r="U290" i="4"/>
  <c r="M291" i="4"/>
  <c r="N291" i="4"/>
  <c r="O291" i="4"/>
  <c r="P291" i="4"/>
  <c r="Q291" i="4"/>
  <c r="R291" i="4"/>
  <c r="S291" i="4"/>
  <c r="T291" i="4"/>
  <c r="U291" i="4"/>
  <c r="M292" i="4"/>
  <c r="N292" i="4"/>
  <c r="O292" i="4"/>
  <c r="P292" i="4"/>
  <c r="Q292" i="4"/>
  <c r="R292" i="4"/>
  <c r="S292" i="4"/>
  <c r="T292" i="4"/>
  <c r="U292" i="4"/>
  <c r="M293" i="4"/>
  <c r="N293" i="4"/>
  <c r="O293" i="4"/>
  <c r="P293" i="4"/>
  <c r="Q293" i="4"/>
  <c r="R293" i="4"/>
  <c r="S293" i="4"/>
  <c r="T293" i="4"/>
  <c r="U293" i="4"/>
  <c r="M294" i="4"/>
  <c r="N294" i="4"/>
  <c r="O294" i="4"/>
  <c r="P294" i="4"/>
  <c r="Q294" i="4"/>
  <c r="R294" i="4"/>
  <c r="S294" i="4"/>
  <c r="T294" i="4"/>
  <c r="U294" i="4"/>
  <c r="M295" i="4"/>
  <c r="N295" i="4"/>
  <c r="O295" i="4"/>
  <c r="P295" i="4"/>
  <c r="Q295" i="4"/>
  <c r="R295" i="4"/>
  <c r="S295" i="4"/>
  <c r="T295" i="4"/>
  <c r="U295" i="4"/>
  <c r="M296" i="4"/>
  <c r="N296" i="4"/>
  <c r="O296" i="4"/>
  <c r="P296" i="4"/>
  <c r="Q296" i="4"/>
  <c r="R296" i="4"/>
  <c r="S296" i="4"/>
  <c r="T296" i="4"/>
  <c r="U296" i="4"/>
  <c r="M298" i="4"/>
  <c r="N298" i="4"/>
  <c r="O298" i="4"/>
  <c r="P298" i="4"/>
  <c r="Q298" i="4"/>
  <c r="R298" i="4"/>
  <c r="S298" i="4"/>
  <c r="T298" i="4"/>
  <c r="U298" i="4"/>
  <c r="M299" i="4"/>
  <c r="N299" i="4"/>
  <c r="O299" i="4"/>
  <c r="P299" i="4"/>
  <c r="Q299" i="4"/>
  <c r="R299" i="4"/>
  <c r="S299" i="4"/>
  <c r="T299" i="4"/>
  <c r="U299" i="4"/>
  <c r="M300" i="4"/>
  <c r="N300" i="4"/>
  <c r="O300" i="4"/>
  <c r="P300" i="4"/>
  <c r="Q300" i="4"/>
  <c r="R300" i="4"/>
  <c r="S300" i="4"/>
  <c r="T300" i="4"/>
  <c r="U300" i="4"/>
  <c r="M301" i="4"/>
  <c r="N301" i="4"/>
  <c r="O301" i="4"/>
  <c r="P301" i="4"/>
  <c r="Q301" i="4"/>
  <c r="R301" i="4"/>
  <c r="S301" i="4"/>
  <c r="T301" i="4"/>
  <c r="U301" i="4"/>
  <c r="M302" i="4"/>
  <c r="N302" i="4"/>
  <c r="O302" i="4"/>
  <c r="P302" i="4"/>
  <c r="Q302" i="4"/>
  <c r="R302" i="4"/>
  <c r="S302" i="4"/>
  <c r="T302" i="4"/>
  <c r="U302" i="4"/>
  <c r="M303" i="4"/>
  <c r="N303" i="4"/>
  <c r="O303" i="4"/>
  <c r="P303" i="4"/>
  <c r="Q303" i="4"/>
  <c r="R303" i="4"/>
  <c r="S303" i="4"/>
  <c r="T303" i="4"/>
  <c r="U303" i="4"/>
  <c r="M304" i="4"/>
  <c r="N304" i="4"/>
  <c r="O304" i="4"/>
  <c r="P304" i="4"/>
  <c r="Q304" i="4"/>
  <c r="R304" i="4"/>
  <c r="S304" i="4"/>
  <c r="T304" i="4"/>
  <c r="U304" i="4"/>
  <c r="M305" i="4"/>
  <c r="N305" i="4"/>
  <c r="O305" i="4"/>
  <c r="P305" i="4"/>
  <c r="Q305" i="4"/>
  <c r="R305" i="4"/>
  <c r="S305" i="4"/>
  <c r="T305" i="4"/>
  <c r="U305" i="4"/>
  <c r="M306" i="4"/>
  <c r="N306" i="4"/>
  <c r="O306" i="4"/>
  <c r="P306" i="4"/>
  <c r="Q306" i="4"/>
  <c r="R306" i="4"/>
  <c r="S306" i="4"/>
  <c r="T306" i="4"/>
  <c r="U306" i="4"/>
  <c r="M307" i="4"/>
  <c r="N307" i="4"/>
  <c r="O307" i="4"/>
  <c r="P307" i="4"/>
  <c r="Q307" i="4"/>
  <c r="R307" i="4"/>
  <c r="S307" i="4"/>
  <c r="T307" i="4"/>
  <c r="U307" i="4"/>
  <c r="M309" i="4"/>
  <c r="N309" i="4"/>
  <c r="O309" i="4"/>
  <c r="P309" i="4"/>
  <c r="Q309" i="4"/>
  <c r="R309" i="4"/>
  <c r="S309" i="4"/>
  <c r="T309" i="4"/>
  <c r="U309" i="4"/>
  <c r="N3" i="4"/>
  <c r="O3" i="4"/>
  <c r="P3" i="4"/>
  <c r="Q3" i="4"/>
  <c r="R3" i="4"/>
  <c r="S3" i="4"/>
  <c r="T3" i="4"/>
  <c r="U3" i="4"/>
  <c r="M3" i="4"/>
  <c r="X3" i="4" s="1"/>
  <c r="AF12" i="4" s="1"/>
  <c r="S245" i="3"/>
  <c r="T245" i="3"/>
  <c r="M245" i="3"/>
  <c r="M227" i="3"/>
  <c r="M228" i="3"/>
  <c r="M115" i="3"/>
  <c r="N115" i="3"/>
  <c r="O115" i="3"/>
  <c r="P115" i="3"/>
  <c r="Q115" i="3"/>
  <c r="R115" i="3"/>
  <c r="S115" i="3"/>
  <c r="T115" i="3"/>
  <c r="M116" i="3"/>
  <c r="N116" i="3"/>
  <c r="O116" i="3"/>
  <c r="P116" i="3"/>
  <c r="Q116" i="3"/>
  <c r="R116" i="3"/>
  <c r="S116" i="3"/>
  <c r="T116" i="3"/>
  <c r="M117" i="3"/>
  <c r="N117" i="3"/>
  <c r="O117" i="3"/>
  <c r="P117" i="3"/>
  <c r="Q117" i="3"/>
  <c r="R117" i="3"/>
  <c r="S117" i="3"/>
  <c r="T117" i="3"/>
  <c r="M118" i="3"/>
  <c r="N118" i="3"/>
  <c r="O118" i="3"/>
  <c r="P118" i="3"/>
  <c r="Q118" i="3"/>
  <c r="R118" i="3"/>
  <c r="S118" i="3"/>
  <c r="T118" i="3"/>
  <c r="M119" i="3"/>
  <c r="N119" i="3"/>
  <c r="O119" i="3"/>
  <c r="P119" i="3"/>
  <c r="Q119" i="3"/>
  <c r="R119" i="3"/>
  <c r="S119" i="3"/>
  <c r="T119" i="3"/>
  <c r="M120" i="3"/>
  <c r="N120" i="3"/>
  <c r="O120" i="3"/>
  <c r="P120" i="3"/>
  <c r="Q120" i="3"/>
  <c r="R120" i="3"/>
  <c r="S120" i="3"/>
  <c r="T120" i="3"/>
  <c r="M121" i="3"/>
  <c r="N121" i="3"/>
  <c r="O121" i="3"/>
  <c r="P121" i="3"/>
  <c r="Q121" i="3"/>
  <c r="R121" i="3"/>
  <c r="S121" i="3"/>
  <c r="T121" i="3"/>
  <c r="M122" i="3"/>
  <c r="N122" i="3"/>
  <c r="M123" i="3"/>
  <c r="N123" i="3"/>
  <c r="O123" i="3"/>
  <c r="P123" i="3"/>
  <c r="Q123" i="3"/>
  <c r="R123" i="3"/>
  <c r="S123" i="3"/>
  <c r="T123" i="3"/>
  <c r="M124" i="3"/>
  <c r="N124" i="3"/>
  <c r="O124" i="3"/>
  <c r="P124" i="3"/>
  <c r="Q124" i="3"/>
  <c r="R124" i="3"/>
  <c r="S124" i="3"/>
  <c r="T124" i="3"/>
  <c r="M125" i="3"/>
  <c r="N125" i="3"/>
  <c r="O125" i="3"/>
  <c r="P125" i="3"/>
  <c r="Q125" i="3"/>
  <c r="R125" i="3"/>
  <c r="S125" i="3"/>
  <c r="T125" i="3"/>
  <c r="M126" i="3"/>
  <c r="N126" i="3"/>
  <c r="O126" i="3"/>
  <c r="P126" i="3"/>
  <c r="Q126" i="3"/>
  <c r="R126" i="3"/>
  <c r="S126" i="3"/>
  <c r="T126" i="3"/>
  <c r="M127" i="3"/>
  <c r="N127" i="3"/>
  <c r="O127" i="3"/>
  <c r="P127" i="3"/>
  <c r="Q127" i="3"/>
  <c r="R127" i="3"/>
  <c r="S127" i="3"/>
  <c r="T127" i="3"/>
  <c r="M128" i="3"/>
  <c r="N128" i="3"/>
  <c r="O128" i="3"/>
  <c r="P128" i="3"/>
  <c r="Q128" i="3"/>
  <c r="R128" i="3"/>
  <c r="S128" i="3"/>
  <c r="T128" i="3"/>
  <c r="M129" i="3"/>
  <c r="N129" i="3"/>
  <c r="O129" i="3"/>
  <c r="P129" i="3"/>
  <c r="Q129" i="3"/>
  <c r="R129" i="3"/>
  <c r="S129" i="3"/>
  <c r="T129" i="3"/>
  <c r="M130" i="3"/>
  <c r="N130" i="3"/>
  <c r="O130" i="3"/>
  <c r="P130" i="3"/>
  <c r="Q130" i="3"/>
  <c r="R130" i="3"/>
  <c r="S130" i="3"/>
  <c r="M131" i="3"/>
  <c r="N131" i="3"/>
  <c r="O131" i="3"/>
  <c r="P131" i="3"/>
  <c r="Q131" i="3"/>
  <c r="R131" i="3"/>
  <c r="S131" i="3"/>
  <c r="T131" i="3"/>
  <c r="M132" i="3"/>
  <c r="N132" i="3"/>
  <c r="O132" i="3"/>
  <c r="P132" i="3"/>
  <c r="Q132" i="3"/>
  <c r="R132" i="3"/>
  <c r="S132" i="3"/>
  <c r="T132" i="3"/>
  <c r="M133" i="3"/>
  <c r="N133" i="3"/>
  <c r="O133" i="3"/>
  <c r="P133" i="3"/>
  <c r="Q133" i="3"/>
  <c r="R133" i="3"/>
  <c r="S133" i="3"/>
  <c r="T133" i="3"/>
  <c r="M134" i="3"/>
  <c r="N134" i="3"/>
  <c r="O134" i="3"/>
  <c r="P134" i="3"/>
  <c r="Q134" i="3"/>
  <c r="R134" i="3"/>
  <c r="S134" i="3"/>
  <c r="T134" i="3"/>
  <c r="M135" i="3"/>
  <c r="N135" i="3"/>
  <c r="O135" i="3"/>
  <c r="P135" i="3"/>
  <c r="Q135" i="3"/>
  <c r="R135" i="3"/>
  <c r="S135" i="3"/>
  <c r="T135" i="3"/>
  <c r="M136" i="3"/>
  <c r="N136" i="3"/>
  <c r="O136" i="3"/>
  <c r="P136" i="3"/>
  <c r="Q136" i="3"/>
  <c r="R136" i="3"/>
  <c r="S136" i="3"/>
  <c r="T136" i="3"/>
  <c r="M137" i="3"/>
  <c r="N137" i="3"/>
  <c r="O137" i="3"/>
  <c r="P137" i="3"/>
  <c r="Q137" i="3"/>
  <c r="R137" i="3"/>
  <c r="S137" i="3"/>
  <c r="T137" i="3"/>
  <c r="M138" i="3"/>
  <c r="N138" i="3"/>
  <c r="O138" i="3"/>
  <c r="P138" i="3"/>
  <c r="Q138" i="3"/>
  <c r="R138" i="3"/>
  <c r="S138" i="3"/>
  <c r="M139" i="3"/>
  <c r="N139" i="3"/>
  <c r="O139" i="3"/>
  <c r="P139" i="3"/>
  <c r="Q139" i="3"/>
  <c r="R139" i="3"/>
  <c r="S139" i="3"/>
  <c r="T139" i="3"/>
  <c r="M140" i="3"/>
  <c r="N140" i="3"/>
  <c r="O140" i="3"/>
  <c r="P140" i="3"/>
  <c r="Q140" i="3"/>
  <c r="R140" i="3"/>
  <c r="S140" i="3"/>
  <c r="T140" i="3"/>
  <c r="M141" i="3"/>
  <c r="N141" i="3"/>
  <c r="O141" i="3"/>
  <c r="P141" i="3"/>
  <c r="Q141" i="3"/>
  <c r="R141" i="3"/>
  <c r="S141" i="3"/>
  <c r="T141" i="3"/>
  <c r="M142" i="3"/>
  <c r="N142" i="3"/>
  <c r="O142" i="3"/>
  <c r="P142" i="3"/>
  <c r="Q142" i="3"/>
  <c r="R142" i="3"/>
  <c r="S142" i="3"/>
  <c r="T142" i="3"/>
  <c r="M143" i="3"/>
  <c r="N143" i="3"/>
  <c r="O143" i="3"/>
  <c r="P143" i="3"/>
  <c r="Q143" i="3"/>
  <c r="R143" i="3"/>
  <c r="S143" i="3"/>
  <c r="T143" i="3"/>
  <c r="M144" i="3"/>
  <c r="N144" i="3"/>
  <c r="O144" i="3"/>
  <c r="P144" i="3"/>
  <c r="Q144" i="3"/>
  <c r="R144" i="3"/>
  <c r="S144" i="3"/>
  <c r="T144" i="3"/>
  <c r="M145" i="3"/>
  <c r="N145" i="3"/>
  <c r="O145" i="3"/>
  <c r="P145" i="3"/>
  <c r="Q145" i="3"/>
  <c r="R145" i="3"/>
  <c r="S145" i="3"/>
  <c r="T145" i="3"/>
  <c r="M146" i="3"/>
  <c r="N146" i="3"/>
  <c r="O146" i="3"/>
  <c r="P146" i="3"/>
  <c r="Q146" i="3"/>
  <c r="R146" i="3"/>
  <c r="S146" i="3"/>
  <c r="M147" i="3"/>
  <c r="N147" i="3"/>
  <c r="O147" i="3"/>
  <c r="P147" i="3"/>
  <c r="Q147" i="3"/>
  <c r="R147" i="3"/>
  <c r="S147" i="3"/>
  <c r="T147" i="3"/>
  <c r="M148" i="3"/>
  <c r="N148" i="3"/>
  <c r="O148" i="3"/>
  <c r="P148" i="3"/>
  <c r="Q148" i="3"/>
  <c r="R148" i="3"/>
  <c r="S148" i="3"/>
  <c r="T148" i="3"/>
  <c r="M149" i="3"/>
  <c r="N149" i="3"/>
  <c r="O149" i="3"/>
  <c r="P149" i="3"/>
  <c r="Q149" i="3"/>
  <c r="R149" i="3"/>
  <c r="S149" i="3"/>
  <c r="T149" i="3"/>
  <c r="M150" i="3"/>
  <c r="N150" i="3"/>
  <c r="O150" i="3"/>
  <c r="P150" i="3"/>
  <c r="Q150" i="3"/>
  <c r="R150" i="3"/>
  <c r="S150" i="3"/>
  <c r="T150" i="3"/>
  <c r="M151" i="3"/>
  <c r="N151" i="3"/>
  <c r="O151" i="3"/>
  <c r="P151" i="3"/>
  <c r="Q151" i="3"/>
  <c r="R151" i="3"/>
  <c r="S151" i="3"/>
  <c r="T151" i="3"/>
  <c r="M152" i="3"/>
  <c r="N152" i="3"/>
  <c r="O152" i="3"/>
  <c r="P152" i="3"/>
  <c r="Q152" i="3"/>
  <c r="R152" i="3"/>
  <c r="S152" i="3"/>
  <c r="T152" i="3"/>
  <c r="M153" i="3"/>
  <c r="N153" i="3"/>
  <c r="O153" i="3"/>
  <c r="P153" i="3"/>
  <c r="Q153" i="3"/>
  <c r="R153" i="3"/>
  <c r="S153" i="3"/>
  <c r="T153" i="3"/>
  <c r="M154" i="3"/>
  <c r="N154" i="3"/>
  <c r="O154" i="3"/>
  <c r="P154" i="3"/>
  <c r="Q154" i="3"/>
  <c r="R154" i="3"/>
  <c r="S154" i="3"/>
  <c r="T154" i="3"/>
  <c r="M155" i="3"/>
  <c r="V155" i="3" s="1"/>
  <c r="N155" i="3"/>
  <c r="W155" i="3" s="1"/>
  <c r="O155" i="3"/>
  <c r="X155" i="3" s="1"/>
  <c r="M156" i="3"/>
  <c r="N156" i="3"/>
  <c r="O156" i="3"/>
  <c r="P156" i="3"/>
  <c r="Q156" i="3"/>
  <c r="R156" i="3"/>
  <c r="S156" i="3"/>
  <c r="T156" i="3"/>
  <c r="M157" i="3"/>
  <c r="N157" i="3"/>
  <c r="O157" i="3"/>
  <c r="P157" i="3"/>
  <c r="Q157" i="3"/>
  <c r="R157" i="3"/>
  <c r="S157" i="3"/>
  <c r="T157" i="3"/>
  <c r="M158" i="3"/>
  <c r="N158" i="3"/>
  <c r="O158" i="3"/>
  <c r="P158" i="3"/>
  <c r="Q158" i="3"/>
  <c r="R158" i="3"/>
  <c r="S158" i="3"/>
  <c r="T158" i="3"/>
  <c r="M159" i="3"/>
  <c r="N159" i="3"/>
  <c r="O159" i="3"/>
  <c r="P159" i="3"/>
  <c r="Q159" i="3"/>
  <c r="R159" i="3"/>
  <c r="S159" i="3"/>
  <c r="T159" i="3"/>
  <c r="M160" i="3"/>
  <c r="N160" i="3"/>
  <c r="O160" i="3"/>
  <c r="P160" i="3"/>
  <c r="Q160" i="3"/>
  <c r="R160" i="3"/>
  <c r="S160" i="3"/>
  <c r="T160" i="3"/>
  <c r="M161" i="3"/>
  <c r="N161" i="3"/>
  <c r="O161" i="3"/>
  <c r="P161" i="3"/>
  <c r="Q161" i="3"/>
  <c r="R161" i="3"/>
  <c r="S161" i="3"/>
  <c r="T161" i="3"/>
  <c r="M162" i="3"/>
  <c r="N162" i="3"/>
  <c r="O162" i="3"/>
  <c r="P162" i="3"/>
  <c r="Q162" i="3"/>
  <c r="R162" i="3"/>
  <c r="S162" i="3"/>
  <c r="T162" i="3"/>
  <c r="M163" i="3"/>
  <c r="N163" i="3"/>
  <c r="O163" i="3"/>
  <c r="P163" i="3"/>
  <c r="Q163" i="3"/>
  <c r="S163" i="3"/>
  <c r="T163" i="3"/>
  <c r="M164" i="3"/>
  <c r="N164" i="3"/>
  <c r="O164" i="3"/>
  <c r="P164" i="3"/>
  <c r="Q164" i="3"/>
  <c r="R164" i="3"/>
  <c r="S164" i="3"/>
  <c r="T164" i="3"/>
  <c r="M165" i="3"/>
  <c r="N165" i="3"/>
  <c r="O165" i="3"/>
  <c r="P165" i="3"/>
  <c r="Q165" i="3"/>
  <c r="R165" i="3"/>
  <c r="S165" i="3"/>
  <c r="T165" i="3"/>
  <c r="M166" i="3"/>
  <c r="N166" i="3"/>
  <c r="O166" i="3"/>
  <c r="P166" i="3"/>
  <c r="Q166" i="3"/>
  <c r="R166" i="3"/>
  <c r="S166" i="3"/>
  <c r="T166" i="3"/>
  <c r="M167" i="3"/>
  <c r="N167" i="3"/>
  <c r="O167" i="3"/>
  <c r="P167" i="3"/>
  <c r="Q167" i="3"/>
  <c r="R167" i="3"/>
  <c r="S167" i="3"/>
  <c r="T167" i="3"/>
  <c r="M168" i="3"/>
  <c r="N168" i="3"/>
  <c r="O168" i="3"/>
  <c r="P168" i="3"/>
  <c r="Q168" i="3"/>
  <c r="R168" i="3"/>
  <c r="S168" i="3"/>
  <c r="T168" i="3"/>
  <c r="M169" i="3"/>
  <c r="N169" i="3"/>
  <c r="O169" i="3"/>
  <c r="P169" i="3"/>
  <c r="Q169" i="3"/>
  <c r="R169" i="3"/>
  <c r="S169" i="3"/>
  <c r="T169" i="3"/>
  <c r="M170" i="3"/>
  <c r="N170" i="3"/>
  <c r="O170" i="3"/>
  <c r="P170" i="3"/>
  <c r="Q170" i="3"/>
  <c r="R170" i="3"/>
  <c r="S170" i="3"/>
  <c r="T170" i="3"/>
  <c r="N171" i="3"/>
  <c r="O171" i="3"/>
  <c r="P171" i="3"/>
  <c r="Q171" i="3"/>
  <c r="R171" i="3"/>
  <c r="S171" i="3"/>
  <c r="T171" i="3"/>
  <c r="M172" i="3"/>
  <c r="N172" i="3"/>
  <c r="O172" i="3"/>
  <c r="P172" i="3"/>
  <c r="Q172" i="3"/>
  <c r="R172" i="3"/>
  <c r="S172" i="3"/>
  <c r="T172" i="3"/>
  <c r="M173" i="3"/>
  <c r="N173" i="3"/>
  <c r="O173" i="3"/>
  <c r="P173" i="3"/>
  <c r="Q173" i="3"/>
  <c r="R173" i="3"/>
  <c r="S173" i="3"/>
  <c r="T173" i="3"/>
  <c r="M174" i="3"/>
  <c r="N174" i="3"/>
  <c r="O174" i="3"/>
  <c r="P174" i="3"/>
  <c r="Q174" i="3"/>
  <c r="R174" i="3"/>
  <c r="S174" i="3"/>
  <c r="T174" i="3"/>
  <c r="M175" i="3"/>
  <c r="N175" i="3"/>
  <c r="O175" i="3"/>
  <c r="P175" i="3"/>
  <c r="Q175" i="3"/>
  <c r="R175" i="3"/>
  <c r="S175" i="3"/>
  <c r="T175" i="3"/>
  <c r="M176" i="3"/>
  <c r="N176" i="3"/>
  <c r="O176" i="3"/>
  <c r="P176" i="3"/>
  <c r="Q176" i="3"/>
  <c r="R176" i="3"/>
  <c r="S176" i="3"/>
  <c r="T176" i="3"/>
  <c r="M177" i="3"/>
  <c r="N177" i="3"/>
  <c r="O177" i="3"/>
  <c r="P177" i="3"/>
  <c r="Q177" i="3"/>
  <c r="R177" i="3"/>
  <c r="S177" i="3"/>
  <c r="T177" i="3"/>
  <c r="M178" i="3"/>
  <c r="N178" i="3"/>
  <c r="O178" i="3"/>
  <c r="P178" i="3"/>
  <c r="Q178" i="3"/>
  <c r="R178" i="3"/>
  <c r="M179" i="3"/>
  <c r="N179" i="3"/>
  <c r="O179" i="3"/>
  <c r="P179" i="3"/>
  <c r="Q179" i="3"/>
  <c r="R179" i="3"/>
  <c r="S179" i="3"/>
  <c r="T179" i="3"/>
  <c r="M180" i="3"/>
  <c r="N180" i="3"/>
  <c r="O180" i="3"/>
  <c r="P180" i="3"/>
  <c r="Q180" i="3"/>
  <c r="R180" i="3"/>
  <c r="S180" i="3"/>
  <c r="T180" i="3"/>
  <c r="M181" i="3"/>
  <c r="N181" i="3"/>
  <c r="O181" i="3"/>
  <c r="P181" i="3"/>
  <c r="Q181" i="3"/>
  <c r="R181" i="3"/>
  <c r="S181" i="3"/>
  <c r="T181" i="3"/>
  <c r="M182" i="3"/>
  <c r="N182" i="3"/>
  <c r="O182" i="3"/>
  <c r="P182" i="3"/>
  <c r="Q182" i="3"/>
  <c r="R182" i="3"/>
  <c r="S182" i="3"/>
  <c r="T182" i="3"/>
  <c r="M183" i="3"/>
  <c r="N183" i="3"/>
  <c r="O183" i="3"/>
  <c r="P183" i="3"/>
  <c r="Q183" i="3"/>
  <c r="R183" i="3"/>
  <c r="S183" i="3"/>
  <c r="T183" i="3"/>
  <c r="M184" i="3"/>
  <c r="N184" i="3"/>
  <c r="O184" i="3"/>
  <c r="P184" i="3"/>
  <c r="Q184" i="3"/>
  <c r="R184" i="3"/>
  <c r="S184" i="3"/>
  <c r="T184" i="3"/>
  <c r="M185" i="3"/>
  <c r="N185" i="3"/>
  <c r="O185" i="3"/>
  <c r="P185" i="3"/>
  <c r="Q185" i="3"/>
  <c r="R185" i="3"/>
  <c r="S185" i="3"/>
  <c r="T185" i="3"/>
  <c r="M187" i="3"/>
  <c r="N187" i="3"/>
  <c r="O187" i="3"/>
  <c r="P187" i="3"/>
  <c r="Q187" i="3"/>
  <c r="R187" i="3"/>
  <c r="S187" i="3"/>
  <c r="T187" i="3"/>
  <c r="M188" i="3"/>
  <c r="N188" i="3"/>
  <c r="O188" i="3"/>
  <c r="P188" i="3"/>
  <c r="Q188" i="3"/>
  <c r="R188" i="3"/>
  <c r="S188" i="3"/>
  <c r="T188" i="3"/>
  <c r="M189" i="3"/>
  <c r="N189" i="3"/>
  <c r="O189" i="3"/>
  <c r="P189" i="3"/>
  <c r="Q189" i="3"/>
  <c r="R189" i="3"/>
  <c r="S189" i="3"/>
  <c r="T189" i="3"/>
  <c r="M190" i="3"/>
  <c r="N190" i="3"/>
  <c r="O190" i="3"/>
  <c r="P190" i="3"/>
  <c r="Q190" i="3"/>
  <c r="R190" i="3"/>
  <c r="S190" i="3"/>
  <c r="T190" i="3"/>
  <c r="M191" i="3"/>
  <c r="N191" i="3"/>
  <c r="O191" i="3"/>
  <c r="P191" i="3"/>
  <c r="Q191" i="3"/>
  <c r="R191" i="3"/>
  <c r="S191" i="3"/>
  <c r="T191" i="3"/>
  <c r="M192" i="3"/>
  <c r="N192" i="3"/>
  <c r="O192" i="3"/>
  <c r="P192" i="3"/>
  <c r="Q192" i="3"/>
  <c r="R192" i="3"/>
  <c r="S192" i="3"/>
  <c r="T192" i="3"/>
  <c r="M193" i="3"/>
  <c r="N193" i="3"/>
  <c r="O193" i="3"/>
  <c r="P193" i="3"/>
  <c r="Q193" i="3"/>
  <c r="R193" i="3"/>
  <c r="S193" i="3"/>
  <c r="T193" i="3"/>
  <c r="M194" i="3"/>
  <c r="N194" i="3"/>
  <c r="O194" i="3"/>
  <c r="P194" i="3"/>
  <c r="R194" i="3"/>
  <c r="S194" i="3"/>
  <c r="M195" i="3"/>
  <c r="N195" i="3"/>
  <c r="O195" i="3"/>
  <c r="P195" i="3"/>
  <c r="Q195" i="3"/>
  <c r="R195" i="3"/>
  <c r="S195" i="3"/>
  <c r="T195" i="3"/>
  <c r="M196" i="3"/>
  <c r="N196" i="3"/>
  <c r="O196" i="3"/>
  <c r="P196" i="3"/>
  <c r="Q196" i="3"/>
  <c r="R196" i="3"/>
  <c r="S196" i="3"/>
  <c r="T196" i="3"/>
  <c r="M197" i="3"/>
  <c r="N197" i="3"/>
  <c r="O197" i="3"/>
  <c r="P197" i="3"/>
  <c r="Q197" i="3"/>
  <c r="R197" i="3"/>
  <c r="S197" i="3"/>
  <c r="T197" i="3"/>
  <c r="M198" i="3"/>
  <c r="N198" i="3"/>
  <c r="O198" i="3"/>
  <c r="P198" i="3"/>
  <c r="Q198" i="3"/>
  <c r="R198" i="3"/>
  <c r="S198" i="3"/>
  <c r="T198" i="3"/>
  <c r="M199" i="3"/>
  <c r="N199" i="3"/>
  <c r="O199" i="3"/>
  <c r="P199" i="3"/>
  <c r="Q199" i="3"/>
  <c r="R199" i="3"/>
  <c r="S199" i="3"/>
  <c r="T199" i="3"/>
  <c r="M200" i="3"/>
  <c r="N200" i="3"/>
  <c r="O200" i="3"/>
  <c r="P200" i="3"/>
  <c r="Q200" i="3"/>
  <c r="R200" i="3"/>
  <c r="S200" i="3"/>
  <c r="T200" i="3"/>
  <c r="M201" i="3"/>
  <c r="N201" i="3"/>
  <c r="O201" i="3"/>
  <c r="P201" i="3"/>
  <c r="Q201" i="3"/>
  <c r="R201" i="3"/>
  <c r="S201" i="3"/>
  <c r="T201" i="3"/>
  <c r="M202" i="3"/>
  <c r="N202" i="3"/>
  <c r="O202" i="3"/>
  <c r="M203" i="3"/>
  <c r="N203" i="3"/>
  <c r="O203" i="3"/>
  <c r="P203" i="3"/>
  <c r="Q203" i="3"/>
  <c r="R203" i="3"/>
  <c r="S203" i="3"/>
  <c r="T203" i="3"/>
  <c r="M204" i="3"/>
  <c r="N204" i="3"/>
  <c r="O204" i="3"/>
  <c r="P204" i="3"/>
  <c r="Q204" i="3"/>
  <c r="R204" i="3"/>
  <c r="S204" i="3"/>
  <c r="T204" i="3"/>
  <c r="M205" i="3"/>
  <c r="N205" i="3"/>
  <c r="O205" i="3"/>
  <c r="P205" i="3"/>
  <c r="Q205" i="3"/>
  <c r="R205" i="3"/>
  <c r="S205" i="3"/>
  <c r="T205" i="3"/>
  <c r="M206" i="3"/>
  <c r="N206" i="3"/>
  <c r="O206" i="3"/>
  <c r="P206" i="3"/>
  <c r="Q206" i="3"/>
  <c r="R206" i="3"/>
  <c r="S206" i="3"/>
  <c r="T206" i="3"/>
  <c r="M207" i="3"/>
  <c r="N207" i="3"/>
  <c r="O207" i="3"/>
  <c r="P207" i="3"/>
  <c r="Q207" i="3"/>
  <c r="R207" i="3"/>
  <c r="S207" i="3"/>
  <c r="T207" i="3"/>
  <c r="M208" i="3"/>
  <c r="N208" i="3"/>
  <c r="O208" i="3"/>
  <c r="P208" i="3"/>
  <c r="Q208" i="3"/>
  <c r="R208" i="3"/>
  <c r="S208" i="3"/>
  <c r="T208" i="3"/>
  <c r="M209" i="3"/>
  <c r="N209" i="3"/>
  <c r="O209" i="3"/>
  <c r="P209" i="3"/>
  <c r="Q209" i="3"/>
  <c r="R209" i="3"/>
  <c r="S209" i="3"/>
  <c r="T209" i="3"/>
  <c r="M210" i="3"/>
  <c r="N210" i="3"/>
  <c r="O210" i="3"/>
  <c r="P210" i="3"/>
  <c r="Q210" i="3"/>
  <c r="R210" i="3"/>
  <c r="S210" i="3"/>
  <c r="M211" i="3"/>
  <c r="N211" i="3"/>
  <c r="O211" i="3"/>
  <c r="P211" i="3"/>
  <c r="Q211" i="3"/>
  <c r="R211" i="3"/>
  <c r="S211" i="3"/>
  <c r="T211" i="3"/>
  <c r="M212" i="3"/>
  <c r="N212" i="3"/>
  <c r="O212" i="3"/>
  <c r="P212" i="3"/>
  <c r="Q212" i="3"/>
  <c r="R212" i="3"/>
  <c r="S212" i="3"/>
  <c r="T212" i="3"/>
  <c r="M213" i="3"/>
  <c r="N213" i="3"/>
  <c r="O213" i="3"/>
  <c r="P213" i="3"/>
  <c r="Q213" i="3"/>
  <c r="R213" i="3"/>
  <c r="S213" i="3"/>
  <c r="T213" i="3"/>
  <c r="M214" i="3"/>
  <c r="N214" i="3"/>
  <c r="O214" i="3"/>
  <c r="P214" i="3"/>
  <c r="Q214" i="3"/>
  <c r="R214" i="3"/>
  <c r="S214" i="3"/>
  <c r="T214" i="3"/>
  <c r="M215" i="3"/>
  <c r="N215" i="3"/>
  <c r="O215" i="3"/>
  <c r="P215" i="3"/>
  <c r="Q215" i="3"/>
  <c r="R215" i="3"/>
  <c r="S215" i="3"/>
  <c r="T215" i="3"/>
  <c r="M216" i="3"/>
  <c r="N216" i="3"/>
  <c r="O216" i="3"/>
  <c r="P216" i="3"/>
  <c r="Q216" i="3"/>
  <c r="R216" i="3"/>
  <c r="S216" i="3"/>
  <c r="T216" i="3"/>
  <c r="M217" i="3"/>
  <c r="N217" i="3"/>
  <c r="O217" i="3"/>
  <c r="P217" i="3"/>
  <c r="Q217" i="3"/>
  <c r="R217" i="3"/>
  <c r="S217" i="3"/>
  <c r="T217" i="3"/>
  <c r="M218" i="3"/>
  <c r="N218" i="3"/>
  <c r="O218" i="3"/>
  <c r="P218" i="3"/>
  <c r="Q218" i="3"/>
  <c r="R218" i="3"/>
  <c r="S218" i="3"/>
  <c r="M219" i="3"/>
  <c r="N219" i="3"/>
  <c r="O219" i="3"/>
  <c r="P219" i="3"/>
  <c r="Q219" i="3"/>
  <c r="R219" i="3"/>
  <c r="S219" i="3"/>
  <c r="T219" i="3"/>
  <c r="M220" i="3"/>
  <c r="N220" i="3"/>
  <c r="O220" i="3"/>
  <c r="P220" i="3"/>
  <c r="Q220" i="3"/>
  <c r="R220" i="3"/>
  <c r="S220" i="3"/>
  <c r="T220" i="3"/>
  <c r="M221" i="3"/>
  <c r="N221" i="3"/>
  <c r="O221" i="3"/>
  <c r="P221" i="3"/>
  <c r="Q221" i="3"/>
  <c r="R221" i="3"/>
  <c r="S221" i="3"/>
  <c r="T221" i="3"/>
  <c r="M222" i="3"/>
  <c r="N222" i="3"/>
  <c r="O222" i="3"/>
  <c r="P222" i="3"/>
  <c r="Q222" i="3"/>
  <c r="R222" i="3"/>
  <c r="S222" i="3"/>
  <c r="T222" i="3"/>
  <c r="M223" i="3"/>
  <c r="N223" i="3"/>
  <c r="O223" i="3"/>
  <c r="P223" i="3"/>
  <c r="Q223" i="3"/>
  <c r="R223" i="3"/>
  <c r="S223" i="3"/>
  <c r="T223" i="3"/>
  <c r="M224" i="3"/>
  <c r="N224" i="3"/>
  <c r="O224" i="3"/>
  <c r="P224" i="3"/>
  <c r="Q224" i="3"/>
  <c r="R224" i="3"/>
  <c r="S224" i="3"/>
  <c r="T224" i="3"/>
  <c r="M225" i="3"/>
  <c r="N225" i="3"/>
  <c r="O225" i="3"/>
  <c r="P225" i="3"/>
  <c r="Q225" i="3"/>
  <c r="R225" i="3"/>
  <c r="S225" i="3"/>
  <c r="T225" i="3"/>
  <c r="P226" i="3"/>
  <c r="N227" i="3"/>
  <c r="O227" i="3"/>
  <c r="P227" i="3"/>
  <c r="Q227" i="3"/>
  <c r="R227" i="3"/>
  <c r="S227" i="3"/>
  <c r="T227" i="3"/>
  <c r="N228" i="3"/>
  <c r="O228" i="3"/>
  <c r="P228" i="3"/>
  <c r="Q228" i="3"/>
  <c r="R228" i="3"/>
  <c r="S228" i="3"/>
  <c r="T228" i="3"/>
  <c r="M229" i="3"/>
  <c r="N229" i="3"/>
  <c r="O229" i="3"/>
  <c r="P229" i="3"/>
  <c r="Q229" i="3"/>
  <c r="R229" i="3"/>
  <c r="S229" i="3"/>
  <c r="T229" i="3"/>
  <c r="M230" i="3"/>
  <c r="N230" i="3"/>
  <c r="O230" i="3"/>
  <c r="P230" i="3"/>
  <c r="Q230" i="3"/>
  <c r="R230" i="3"/>
  <c r="S230" i="3"/>
  <c r="T230" i="3"/>
  <c r="M231" i="3"/>
  <c r="N231" i="3"/>
  <c r="O231" i="3"/>
  <c r="P231" i="3"/>
  <c r="Q231" i="3"/>
  <c r="R231" i="3"/>
  <c r="S231" i="3"/>
  <c r="T231" i="3"/>
  <c r="M232" i="3"/>
  <c r="N232" i="3"/>
  <c r="O232" i="3"/>
  <c r="P232" i="3"/>
  <c r="Q232" i="3"/>
  <c r="R232" i="3"/>
  <c r="S232" i="3"/>
  <c r="T232" i="3"/>
  <c r="M233" i="3"/>
  <c r="N233" i="3"/>
  <c r="O233" i="3"/>
  <c r="P233" i="3"/>
  <c r="Q233" i="3"/>
  <c r="R233" i="3"/>
  <c r="S233" i="3"/>
  <c r="T233" i="3"/>
  <c r="N234" i="3"/>
  <c r="O234" i="3"/>
  <c r="P234" i="3"/>
  <c r="M4" i="3"/>
  <c r="N4" i="3"/>
  <c r="O4" i="3"/>
  <c r="P4" i="3"/>
  <c r="Q4" i="3"/>
  <c r="R4" i="3"/>
  <c r="S4" i="3"/>
  <c r="T4" i="3"/>
  <c r="M5" i="3"/>
  <c r="N5" i="3"/>
  <c r="O5" i="3"/>
  <c r="P5" i="3"/>
  <c r="Q5" i="3"/>
  <c r="R5" i="3"/>
  <c r="S5" i="3"/>
  <c r="T5" i="3"/>
  <c r="M6" i="3"/>
  <c r="N6" i="3"/>
  <c r="O6" i="3"/>
  <c r="P6" i="3"/>
  <c r="Q6" i="3"/>
  <c r="R6" i="3"/>
  <c r="S6" i="3"/>
  <c r="T6" i="3"/>
  <c r="M7" i="3"/>
  <c r="N7" i="3"/>
  <c r="O7" i="3"/>
  <c r="P7" i="3"/>
  <c r="Q7" i="3"/>
  <c r="R7" i="3"/>
  <c r="S7" i="3"/>
  <c r="T7" i="3"/>
  <c r="M8" i="3"/>
  <c r="N8" i="3"/>
  <c r="O8" i="3"/>
  <c r="P8" i="3"/>
  <c r="Q8" i="3"/>
  <c r="R8" i="3"/>
  <c r="S8" i="3"/>
  <c r="T8" i="3"/>
  <c r="M9" i="3"/>
  <c r="N9" i="3"/>
  <c r="O9" i="3"/>
  <c r="P9" i="3"/>
  <c r="Q9" i="3"/>
  <c r="R9" i="3"/>
  <c r="S9" i="3"/>
  <c r="T9" i="3"/>
  <c r="M10" i="3"/>
  <c r="P10" i="3"/>
  <c r="Q10" i="3"/>
  <c r="T10" i="3"/>
  <c r="M11" i="3"/>
  <c r="N11" i="3"/>
  <c r="O11" i="3"/>
  <c r="P11" i="3"/>
  <c r="Q11" i="3"/>
  <c r="R11" i="3"/>
  <c r="S11" i="3"/>
  <c r="T11" i="3"/>
  <c r="M12" i="3"/>
  <c r="N12" i="3"/>
  <c r="O12" i="3"/>
  <c r="P12" i="3"/>
  <c r="Q12" i="3"/>
  <c r="R12" i="3"/>
  <c r="S12" i="3"/>
  <c r="T12" i="3"/>
  <c r="M13" i="3"/>
  <c r="N13" i="3"/>
  <c r="O13" i="3"/>
  <c r="P13" i="3"/>
  <c r="Q13" i="3"/>
  <c r="R13" i="3"/>
  <c r="S13" i="3"/>
  <c r="T13" i="3"/>
  <c r="M14" i="3"/>
  <c r="N14" i="3"/>
  <c r="O14" i="3"/>
  <c r="P14" i="3"/>
  <c r="Q14" i="3"/>
  <c r="R14" i="3"/>
  <c r="S14" i="3"/>
  <c r="T14" i="3"/>
  <c r="M15" i="3"/>
  <c r="N15" i="3"/>
  <c r="O15" i="3"/>
  <c r="P15" i="3"/>
  <c r="Q15" i="3"/>
  <c r="R15" i="3"/>
  <c r="S15" i="3"/>
  <c r="T15" i="3"/>
  <c r="M16" i="3"/>
  <c r="N16" i="3"/>
  <c r="O16" i="3"/>
  <c r="P16" i="3"/>
  <c r="Q16" i="3"/>
  <c r="R16" i="3"/>
  <c r="S16" i="3"/>
  <c r="T16" i="3"/>
  <c r="M17" i="3"/>
  <c r="N17" i="3"/>
  <c r="O17" i="3"/>
  <c r="P17" i="3"/>
  <c r="Q17" i="3"/>
  <c r="R17" i="3"/>
  <c r="S17" i="3"/>
  <c r="T17" i="3"/>
  <c r="M18" i="3"/>
  <c r="N18" i="3"/>
  <c r="O18" i="3"/>
  <c r="P18" i="3"/>
  <c r="Q18" i="3"/>
  <c r="M19" i="3"/>
  <c r="N19" i="3"/>
  <c r="O19" i="3"/>
  <c r="P19" i="3"/>
  <c r="Q19" i="3"/>
  <c r="R19" i="3"/>
  <c r="S19" i="3"/>
  <c r="T19" i="3"/>
  <c r="M20" i="3"/>
  <c r="N20" i="3"/>
  <c r="O20" i="3"/>
  <c r="P20" i="3"/>
  <c r="Q20" i="3"/>
  <c r="R20" i="3"/>
  <c r="S20" i="3"/>
  <c r="T20" i="3"/>
  <c r="M21" i="3"/>
  <c r="N21" i="3"/>
  <c r="O21" i="3"/>
  <c r="P21" i="3"/>
  <c r="Q21" i="3"/>
  <c r="R21" i="3"/>
  <c r="S21" i="3"/>
  <c r="T21" i="3"/>
  <c r="M22" i="3"/>
  <c r="N22" i="3"/>
  <c r="O22" i="3"/>
  <c r="P22" i="3"/>
  <c r="Q22" i="3"/>
  <c r="R22" i="3"/>
  <c r="S22" i="3"/>
  <c r="T22" i="3"/>
  <c r="M23" i="3"/>
  <c r="N23" i="3"/>
  <c r="O23" i="3"/>
  <c r="P23" i="3"/>
  <c r="Q23" i="3"/>
  <c r="R23" i="3"/>
  <c r="S23" i="3"/>
  <c r="T23" i="3"/>
  <c r="M24" i="3"/>
  <c r="N24" i="3"/>
  <c r="O24" i="3"/>
  <c r="P24" i="3"/>
  <c r="Q24" i="3"/>
  <c r="R24" i="3"/>
  <c r="S24" i="3"/>
  <c r="T24" i="3"/>
  <c r="M25" i="3"/>
  <c r="N25" i="3"/>
  <c r="O25" i="3"/>
  <c r="P25" i="3"/>
  <c r="Q25" i="3"/>
  <c r="R25" i="3"/>
  <c r="S25" i="3"/>
  <c r="T25" i="3"/>
  <c r="M26" i="3"/>
  <c r="N26" i="3"/>
  <c r="O26" i="3"/>
  <c r="P26" i="3"/>
  <c r="Q26" i="3"/>
  <c r="R26" i="3"/>
  <c r="S26" i="3"/>
  <c r="M27" i="3"/>
  <c r="N27" i="3"/>
  <c r="O27" i="3"/>
  <c r="P27" i="3"/>
  <c r="Q27" i="3"/>
  <c r="R27" i="3"/>
  <c r="S27" i="3"/>
  <c r="T27" i="3"/>
  <c r="M28" i="3"/>
  <c r="N28" i="3"/>
  <c r="O28" i="3"/>
  <c r="P28" i="3"/>
  <c r="Q28" i="3"/>
  <c r="R28" i="3"/>
  <c r="S28" i="3"/>
  <c r="T28" i="3"/>
  <c r="M29" i="3"/>
  <c r="N29" i="3"/>
  <c r="O29" i="3"/>
  <c r="P29" i="3"/>
  <c r="Q29" i="3"/>
  <c r="R29" i="3"/>
  <c r="S29" i="3"/>
  <c r="T29" i="3"/>
  <c r="M30" i="3"/>
  <c r="N30" i="3"/>
  <c r="O30" i="3"/>
  <c r="P30" i="3"/>
  <c r="Q30" i="3"/>
  <c r="R30" i="3"/>
  <c r="S30" i="3"/>
  <c r="T30" i="3"/>
  <c r="M31" i="3"/>
  <c r="N31" i="3"/>
  <c r="O31" i="3"/>
  <c r="P31" i="3"/>
  <c r="Q31" i="3"/>
  <c r="R31" i="3"/>
  <c r="S31" i="3"/>
  <c r="T31" i="3"/>
  <c r="M32" i="3"/>
  <c r="N32" i="3"/>
  <c r="O32" i="3"/>
  <c r="P32" i="3"/>
  <c r="Q32" i="3"/>
  <c r="R32" i="3"/>
  <c r="S32" i="3"/>
  <c r="T32" i="3"/>
  <c r="M33" i="3"/>
  <c r="N33" i="3"/>
  <c r="O33" i="3"/>
  <c r="P33" i="3"/>
  <c r="Q33" i="3"/>
  <c r="R33" i="3"/>
  <c r="S33" i="3"/>
  <c r="T33" i="3"/>
  <c r="M34" i="3"/>
  <c r="N34" i="3"/>
  <c r="O34" i="3"/>
  <c r="P34" i="3"/>
  <c r="Q34" i="3"/>
  <c r="R34" i="3"/>
  <c r="S34" i="3"/>
  <c r="M35" i="3"/>
  <c r="N35" i="3"/>
  <c r="O35" i="3"/>
  <c r="P35" i="3"/>
  <c r="Q35" i="3"/>
  <c r="R35" i="3"/>
  <c r="S35" i="3"/>
  <c r="T35" i="3"/>
  <c r="M36" i="3"/>
  <c r="N36" i="3"/>
  <c r="O36" i="3"/>
  <c r="P36" i="3"/>
  <c r="Q36" i="3"/>
  <c r="R36" i="3"/>
  <c r="S36" i="3"/>
  <c r="T36" i="3"/>
  <c r="M37" i="3"/>
  <c r="N37" i="3"/>
  <c r="O37" i="3"/>
  <c r="P37" i="3"/>
  <c r="Q37" i="3"/>
  <c r="R37" i="3"/>
  <c r="S37" i="3"/>
  <c r="T37" i="3"/>
  <c r="M38" i="3"/>
  <c r="N38" i="3"/>
  <c r="O38" i="3"/>
  <c r="P38" i="3"/>
  <c r="Q38" i="3"/>
  <c r="R38" i="3"/>
  <c r="S38" i="3"/>
  <c r="T38" i="3"/>
  <c r="M39" i="3"/>
  <c r="N39" i="3"/>
  <c r="O39" i="3"/>
  <c r="P39" i="3"/>
  <c r="Q39" i="3"/>
  <c r="R39" i="3"/>
  <c r="S39" i="3"/>
  <c r="T39" i="3"/>
  <c r="M40" i="3"/>
  <c r="N40" i="3"/>
  <c r="O40" i="3"/>
  <c r="P40" i="3"/>
  <c r="Q40" i="3"/>
  <c r="R40" i="3"/>
  <c r="S40" i="3"/>
  <c r="T40" i="3"/>
  <c r="M41" i="3"/>
  <c r="N41" i="3"/>
  <c r="O41" i="3"/>
  <c r="P41" i="3"/>
  <c r="Q41" i="3"/>
  <c r="R41" i="3"/>
  <c r="S41" i="3"/>
  <c r="T41" i="3"/>
  <c r="M42" i="3"/>
  <c r="N42" i="3"/>
  <c r="O42" i="3"/>
  <c r="P42" i="3"/>
  <c r="Q42" i="3"/>
  <c r="R42" i="3"/>
  <c r="S42" i="3"/>
  <c r="M43" i="3"/>
  <c r="N43" i="3"/>
  <c r="N245" i="3" s="1"/>
  <c r="N249" i="3" s="1"/>
  <c r="O43" i="3"/>
  <c r="P43" i="3"/>
  <c r="Q43" i="3"/>
  <c r="R43" i="3"/>
  <c r="S43" i="3"/>
  <c r="T43" i="3"/>
  <c r="M44" i="3"/>
  <c r="N44" i="3"/>
  <c r="O44" i="3"/>
  <c r="P44" i="3"/>
  <c r="Q44" i="3"/>
  <c r="R44" i="3"/>
  <c r="S44" i="3"/>
  <c r="T44" i="3"/>
  <c r="M45" i="3"/>
  <c r="N45" i="3"/>
  <c r="O45" i="3"/>
  <c r="P45" i="3"/>
  <c r="Q45" i="3"/>
  <c r="R45" i="3"/>
  <c r="S45" i="3"/>
  <c r="T45" i="3"/>
  <c r="M46" i="3"/>
  <c r="N46" i="3"/>
  <c r="O46" i="3"/>
  <c r="P46" i="3"/>
  <c r="Q46" i="3"/>
  <c r="R46" i="3"/>
  <c r="S46" i="3"/>
  <c r="T46" i="3"/>
  <c r="M47" i="3"/>
  <c r="N47" i="3"/>
  <c r="O47" i="3"/>
  <c r="P47" i="3"/>
  <c r="Q47" i="3"/>
  <c r="R47" i="3"/>
  <c r="S47" i="3"/>
  <c r="T47" i="3"/>
  <c r="M48" i="3"/>
  <c r="N48" i="3"/>
  <c r="O48" i="3"/>
  <c r="P48" i="3"/>
  <c r="Q48" i="3"/>
  <c r="R48" i="3"/>
  <c r="S48" i="3"/>
  <c r="T48" i="3"/>
  <c r="M49" i="3"/>
  <c r="N49" i="3"/>
  <c r="O49" i="3"/>
  <c r="P49" i="3"/>
  <c r="Q49" i="3"/>
  <c r="R49" i="3"/>
  <c r="S49" i="3"/>
  <c r="T49" i="3"/>
  <c r="M50" i="3"/>
  <c r="N50" i="3"/>
  <c r="W50" i="3" s="1"/>
  <c r="W236" i="3" s="1"/>
  <c r="S50" i="3"/>
  <c r="T50" i="3"/>
  <c r="AC50" i="3" s="1"/>
  <c r="M51" i="3"/>
  <c r="N51" i="3"/>
  <c r="O51" i="3"/>
  <c r="P51" i="3"/>
  <c r="Q51" i="3"/>
  <c r="R51" i="3"/>
  <c r="S51" i="3"/>
  <c r="T51" i="3"/>
  <c r="M52" i="3"/>
  <c r="N52" i="3"/>
  <c r="O52" i="3"/>
  <c r="P52" i="3"/>
  <c r="Q52" i="3"/>
  <c r="R52" i="3"/>
  <c r="S52" i="3"/>
  <c r="T52" i="3"/>
  <c r="M53" i="3"/>
  <c r="N53" i="3"/>
  <c r="O53" i="3"/>
  <c r="P53" i="3"/>
  <c r="Q53" i="3"/>
  <c r="R53" i="3"/>
  <c r="S53" i="3"/>
  <c r="T53" i="3"/>
  <c r="M54" i="3"/>
  <c r="N54" i="3"/>
  <c r="O54" i="3"/>
  <c r="P54" i="3"/>
  <c r="Q54" i="3"/>
  <c r="R54" i="3"/>
  <c r="S54" i="3"/>
  <c r="T54" i="3"/>
  <c r="M55" i="3"/>
  <c r="N55" i="3"/>
  <c r="O55" i="3"/>
  <c r="P55" i="3"/>
  <c r="Q55" i="3"/>
  <c r="R55" i="3"/>
  <c r="S55" i="3"/>
  <c r="T55" i="3"/>
  <c r="M56" i="3"/>
  <c r="N56" i="3"/>
  <c r="O56" i="3"/>
  <c r="P56" i="3"/>
  <c r="Q56" i="3"/>
  <c r="R56" i="3"/>
  <c r="S56" i="3"/>
  <c r="T56" i="3"/>
  <c r="M57" i="3"/>
  <c r="N57" i="3"/>
  <c r="O57" i="3"/>
  <c r="P57" i="3"/>
  <c r="Q57" i="3"/>
  <c r="R57" i="3"/>
  <c r="S57" i="3"/>
  <c r="T57" i="3"/>
  <c r="M58" i="3"/>
  <c r="N58" i="3"/>
  <c r="O58" i="3"/>
  <c r="M59" i="3"/>
  <c r="N59" i="3"/>
  <c r="O59" i="3"/>
  <c r="P59" i="3"/>
  <c r="Q59" i="3"/>
  <c r="R59" i="3"/>
  <c r="S59" i="3"/>
  <c r="T59" i="3"/>
  <c r="M60" i="3"/>
  <c r="N60" i="3"/>
  <c r="O60" i="3"/>
  <c r="P60" i="3"/>
  <c r="Q60" i="3"/>
  <c r="R60" i="3"/>
  <c r="S60" i="3"/>
  <c r="T60" i="3"/>
  <c r="M61" i="3"/>
  <c r="N61" i="3"/>
  <c r="O61" i="3"/>
  <c r="P61" i="3"/>
  <c r="Q61" i="3"/>
  <c r="R61" i="3"/>
  <c r="S61" i="3"/>
  <c r="T61" i="3"/>
  <c r="M62" i="3"/>
  <c r="N62" i="3"/>
  <c r="O62" i="3"/>
  <c r="P62" i="3"/>
  <c r="Q62" i="3"/>
  <c r="R62" i="3"/>
  <c r="S62" i="3"/>
  <c r="T62" i="3"/>
  <c r="M63" i="3"/>
  <c r="N63" i="3"/>
  <c r="O63" i="3"/>
  <c r="P63" i="3"/>
  <c r="Q63" i="3"/>
  <c r="R63" i="3"/>
  <c r="S63" i="3"/>
  <c r="T63" i="3"/>
  <c r="M64" i="3"/>
  <c r="N64" i="3"/>
  <c r="O64" i="3"/>
  <c r="P64" i="3"/>
  <c r="Q64" i="3"/>
  <c r="R64" i="3"/>
  <c r="S64" i="3"/>
  <c r="T64" i="3"/>
  <c r="M65" i="3"/>
  <c r="N65" i="3"/>
  <c r="O65" i="3"/>
  <c r="P65" i="3"/>
  <c r="Q65" i="3"/>
  <c r="R65" i="3"/>
  <c r="S65" i="3"/>
  <c r="T65" i="3"/>
  <c r="M66" i="3"/>
  <c r="N66" i="3"/>
  <c r="O66" i="3"/>
  <c r="P66" i="3"/>
  <c r="Q66" i="3"/>
  <c r="R66" i="3"/>
  <c r="M67" i="3"/>
  <c r="N67" i="3"/>
  <c r="O67" i="3"/>
  <c r="P67" i="3"/>
  <c r="Q67" i="3"/>
  <c r="R67" i="3"/>
  <c r="S67" i="3"/>
  <c r="T67" i="3"/>
  <c r="M68" i="3"/>
  <c r="N68" i="3"/>
  <c r="O68" i="3"/>
  <c r="P68" i="3"/>
  <c r="Q68" i="3"/>
  <c r="R68" i="3"/>
  <c r="S68" i="3"/>
  <c r="T68" i="3"/>
  <c r="M69" i="3"/>
  <c r="N69" i="3"/>
  <c r="O69" i="3"/>
  <c r="P69" i="3"/>
  <c r="Q69" i="3"/>
  <c r="R69" i="3"/>
  <c r="S69" i="3"/>
  <c r="T69" i="3"/>
  <c r="M70" i="3"/>
  <c r="N70" i="3"/>
  <c r="O70" i="3"/>
  <c r="P70" i="3"/>
  <c r="Q70" i="3"/>
  <c r="R70" i="3"/>
  <c r="S70" i="3"/>
  <c r="T70" i="3"/>
  <c r="M71" i="3"/>
  <c r="N71" i="3"/>
  <c r="O71" i="3"/>
  <c r="P71" i="3"/>
  <c r="Q71" i="3"/>
  <c r="R71" i="3"/>
  <c r="S71" i="3"/>
  <c r="T71" i="3"/>
  <c r="M72" i="3"/>
  <c r="N72" i="3"/>
  <c r="O72" i="3"/>
  <c r="P72" i="3"/>
  <c r="Q72" i="3"/>
  <c r="R72" i="3"/>
  <c r="S72" i="3"/>
  <c r="T72" i="3"/>
  <c r="M73" i="3"/>
  <c r="N73" i="3"/>
  <c r="O73" i="3"/>
  <c r="P73" i="3"/>
  <c r="Q73" i="3"/>
  <c r="R73" i="3"/>
  <c r="S73" i="3"/>
  <c r="T73" i="3"/>
  <c r="M74" i="3"/>
  <c r="N74" i="3"/>
  <c r="O74" i="3"/>
  <c r="P74" i="3"/>
  <c r="Q74" i="3"/>
  <c r="R74" i="3"/>
  <c r="S74" i="3"/>
  <c r="M75" i="3"/>
  <c r="N75" i="3"/>
  <c r="O75" i="3"/>
  <c r="P75" i="3"/>
  <c r="Q75" i="3"/>
  <c r="R75" i="3"/>
  <c r="S75" i="3"/>
  <c r="T75" i="3"/>
  <c r="M76" i="3"/>
  <c r="N76" i="3"/>
  <c r="O76" i="3"/>
  <c r="P76" i="3"/>
  <c r="Q76" i="3"/>
  <c r="R76" i="3"/>
  <c r="S76" i="3"/>
  <c r="T76" i="3"/>
  <c r="M77" i="3"/>
  <c r="N77" i="3"/>
  <c r="O77" i="3"/>
  <c r="P77" i="3"/>
  <c r="Q77" i="3"/>
  <c r="R77" i="3"/>
  <c r="S77" i="3"/>
  <c r="T77" i="3"/>
  <c r="M78" i="3"/>
  <c r="N78" i="3"/>
  <c r="O78" i="3"/>
  <c r="P78" i="3"/>
  <c r="Q78" i="3"/>
  <c r="R78" i="3"/>
  <c r="S78" i="3"/>
  <c r="T78" i="3"/>
  <c r="M79" i="3"/>
  <c r="N79" i="3"/>
  <c r="O79" i="3"/>
  <c r="P79" i="3"/>
  <c r="Q79" i="3"/>
  <c r="R79" i="3"/>
  <c r="S79" i="3"/>
  <c r="T79" i="3"/>
  <c r="M80" i="3"/>
  <c r="N80" i="3"/>
  <c r="O80" i="3"/>
  <c r="P80" i="3"/>
  <c r="Q80" i="3"/>
  <c r="R80" i="3"/>
  <c r="S80" i="3"/>
  <c r="T80" i="3"/>
  <c r="M81" i="3"/>
  <c r="N81" i="3"/>
  <c r="O81" i="3"/>
  <c r="P81" i="3"/>
  <c r="Q81" i="3"/>
  <c r="R81" i="3"/>
  <c r="S81" i="3"/>
  <c r="T81" i="3"/>
  <c r="M82" i="3"/>
  <c r="N82" i="3"/>
  <c r="O82" i="3"/>
  <c r="P82" i="3"/>
  <c r="Q82" i="3"/>
  <c r="R82" i="3"/>
  <c r="S82" i="3"/>
  <c r="M83" i="3"/>
  <c r="N83" i="3"/>
  <c r="O83" i="3"/>
  <c r="P83" i="3"/>
  <c r="Q83" i="3"/>
  <c r="R83" i="3"/>
  <c r="S83" i="3"/>
  <c r="T83" i="3"/>
  <c r="M84" i="3"/>
  <c r="N84" i="3"/>
  <c r="O84" i="3"/>
  <c r="P84" i="3"/>
  <c r="Q84" i="3"/>
  <c r="R84" i="3"/>
  <c r="S84" i="3"/>
  <c r="T84" i="3"/>
  <c r="M85" i="3"/>
  <c r="N85" i="3"/>
  <c r="O85" i="3"/>
  <c r="P85" i="3"/>
  <c r="Q85" i="3"/>
  <c r="R85" i="3"/>
  <c r="S85" i="3"/>
  <c r="T85" i="3"/>
  <c r="M86" i="3"/>
  <c r="N86" i="3"/>
  <c r="O86" i="3"/>
  <c r="P86" i="3"/>
  <c r="Q86" i="3"/>
  <c r="R86" i="3"/>
  <c r="S86" i="3"/>
  <c r="T86" i="3"/>
  <c r="M87" i="3"/>
  <c r="N87" i="3"/>
  <c r="O87" i="3"/>
  <c r="P87" i="3"/>
  <c r="Q87" i="3"/>
  <c r="R87" i="3"/>
  <c r="S87" i="3"/>
  <c r="T87" i="3"/>
  <c r="M88" i="3"/>
  <c r="N88" i="3"/>
  <c r="O88" i="3"/>
  <c r="P88" i="3"/>
  <c r="Q88" i="3"/>
  <c r="R88" i="3"/>
  <c r="S88" i="3"/>
  <c r="T88" i="3"/>
  <c r="M89" i="3"/>
  <c r="N89" i="3"/>
  <c r="O89" i="3"/>
  <c r="P89" i="3"/>
  <c r="Q89" i="3"/>
  <c r="R89" i="3"/>
  <c r="S89" i="3"/>
  <c r="T89" i="3"/>
  <c r="M90" i="3"/>
  <c r="N90" i="3"/>
  <c r="O90" i="3"/>
  <c r="R90" i="3"/>
  <c r="S90" i="3"/>
  <c r="T90" i="3"/>
  <c r="M91" i="3"/>
  <c r="N91" i="3"/>
  <c r="O91" i="3"/>
  <c r="P91" i="3"/>
  <c r="Q91" i="3"/>
  <c r="R91" i="3"/>
  <c r="S91" i="3"/>
  <c r="T91" i="3"/>
  <c r="M92" i="3"/>
  <c r="N92" i="3"/>
  <c r="O92" i="3"/>
  <c r="P92" i="3"/>
  <c r="Q92" i="3"/>
  <c r="R92" i="3"/>
  <c r="S92" i="3"/>
  <c r="T92" i="3"/>
  <c r="M93" i="3"/>
  <c r="N93" i="3"/>
  <c r="O93" i="3"/>
  <c r="P93" i="3"/>
  <c r="Q93" i="3"/>
  <c r="R93" i="3"/>
  <c r="S93" i="3"/>
  <c r="T93" i="3"/>
  <c r="M94" i="3"/>
  <c r="N94" i="3"/>
  <c r="O94" i="3"/>
  <c r="P94" i="3"/>
  <c r="Q94" i="3"/>
  <c r="R94" i="3"/>
  <c r="S94" i="3"/>
  <c r="T94" i="3"/>
  <c r="M95" i="3"/>
  <c r="N95" i="3"/>
  <c r="O95" i="3"/>
  <c r="P95" i="3"/>
  <c r="Q95" i="3"/>
  <c r="R95" i="3"/>
  <c r="S95" i="3"/>
  <c r="T95" i="3"/>
  <c r="M96" i="3"/>
  <c r="N96" i="3"/>
  <c r="O96" i="3"/>
  <c r="P96" i="3"/>
  <c r="Q96" i="3"/>
  <c r="R96" i="3"/>
  <c r="S96" i="3"/>
  <c r="T96" i="3"/>
  <c r="M97" i="3"/>
  <c r="N97" i="3"/>
  <c r="O97" i="3"/>
  <c r="P97" i="3"/>
  <c r="Q97" i="3"/>
  <c r="R97" i="3"/>
  <c r="S97" i="3"/>
  <c r="T97" i="3"/>
  <c r="M98" i="3"/>
  <c r="N98" i="3"/>
  <c r="O98" i="3"/>
  <c r="P98" i="3"/>
  <c r="Q98" i="3"/>
  <c r="R98" i="3"/>
  <c r="S98" i="3"/>
  <c r="T98" i="3"/>
  <c r="M99" i="3"/>
  <c r="N99" i="3"/>
  <c r="O99" i="3"/>
  <c r="P99" i="3"/>
  <c r="Q99" i="3"/>
  <c r="R99" i="3"/>
  <c r="S99" i="3"/>
  <c r="T99" i="3"/>
  <c r="M100" i="3"/>
  <c r="N100" i="3"/>
  <c r="O100" i="3"/>
  <c r="P100" i="3"/>
  <c r="Q100" i="3"/>
  <c r="R100" i="3"/>
  <c r="S100" i="3"/>
  <c r="T100" i="3"/>
  <c r="M101" i="3"/>
  <c r="N101" i="3"/>
  <c r="O101" i="3"/>
  <c r="P101" i="3"/>
  <c r="Q101" i="3"/>
  <c r="R101" i="3"/>
  <c r="S101" i="3"/>
  <c r="T101" i="3"/>
  <c r="M102" i="3"/>
  <c r="N102" i="3"/>
  <c r="O102" i="3"/>
  <c r="P102" i="3"/>
  <c r="Q102" i="3"/>
  <c r="R102" i="3"/>
  <c r="S102" i="3"/>
  <c r="T102" i="3"/>
  <c r="M103" i="3"/>
  <c r="N103" i="3"/>
  <c r="O103" i="3"/>
  <c r="P103" i="3"/>
  <c r="Q103" i="3"/>
  <c r="R103" i="3"/>
  <c r="S103" i="3"/>
  <c r="T103" i="3"/>
  <c r="M104" i="3"/>
  <c r="N104" i="3"/>
  <c r="O104" i="3"/>
  <c r="P104" i="3"/>
  <c r="Q104" i="3"/>
  <c r="R104" i="3"/>
  <c r="S104" i="3"/>
  <c r="T104" i="3"/>
  <c r="M105" i="3"/>
  <c r="N105" i="3"/>
  <c r="O105" i="3"/>
  <c r="P105" i="3"/>
  <c r="Q105" i="3"/>
  <c r="R105" i="3"/>
  <c r="S105" i="3"/>
  <c r="T105" i="3"/>
  <c r="M106" i="3"/>
  <c r="N106" i="3"/>
  <c r="O106" i="3"/>
  <c r="P106" i="3"/>
  <c r="Q106" i="3"/>
  <c r="R106" i="3"/>
  <c r="S106" i="3"/>
  <c r="M107" i="3"/>
  <c r="N107" i="3"/>
  <c r="O107" i="3"/>
  <c r="P107" i="3"/>
  <c r="Q107" i="3"/>
  <c r="R107" i="3"/>
  <c r="S107" i="3"/>
  <c r="T107" i="3"/>
  <c r="M108" i="3"/>
  <c r="N108" i="3"/>
  <c r="O108" i="3"/>
  <c r="P108" i="3"/>
  <c r="Q108" i="3"/>
  <c r="R108" i="3"/>
  <c r="S108" i="3"/>
  <c r="T108" i="3"/>
  <c r="M109" i="3"/>
  <c r="N109" i="3"/>
  <c r="O109" i="3"/>
  <c r="P109" i="3"/>
  <c r="Q109" i="3"/>
  <c r="R109" i="3"/>
  <c r="S109" i="3"/>
  <c r="T109" i="3"/>
  <c r="M110" i="3"/>
  <c r="N110" i="3"/>
  <c r="O110" i="3"/>
  <c r="P110" i="3"/>
  <c r="Q110" i="3"/>
  <c r="R110" i="3"/>
  <c r="S110" i="3"/>
  <c r="T110" i="3"/>
  <c r="M111" i="3"/>
  <c r="N111" i="3"/>
  <c r="O111" i="3"/>
  <c r="P111" i="3"/>
  <c r="Q111" i="3"/>
  <c r="R111" i="3"/>
  <c r="S111" i="3"/>
  <c r="T111" i="3"/>
  <c r="M112" i="3"/>
  <c r="N112" i="3"/>
  <c r="O112" i="3"/>
  <c r="P112" i="3"/>
  <c r="Q112" i="3"/>
  <c r="R112" i="3"/>
  <c r="S112" i="3"/>
  <c r="T112" i="3"/>
  <c r="M113" i="3"/>
  <c r="N113" i="3"/>
  <c r="O113" i="3"/>
  <c r="P113" i="3"/>
  <c r="Q113" i="3"/>
  <c r="R113" i="3"/>
  <c r="S113" i="3"/>
  <c r="T113" i="3"/>
  <c r="M114" i="3"/>
  <c r="N114" i="3"/>
  <c r="O114" i="3"/>
  <c r="P114" i="3"/>
  <c r="Q114" i="3"/>
  <c r="R114" i="3"/>
  <c r="S114" i="3"/>
  <c r="T3" i="3"/>
  <c r="S3" i="3"/>
  <c r="R3" i="3"/>
  <c r="Q3" i="3"/>
  <c r="P3" i="3"/>
  <c r="O3" i="3"/>
  <c r="N3" i="3"/>
  <c r="M3" i="3"/>
  <c r="BD55" i="1"/>
  <c r="BD56" i="1"/>
  <c r="BC55" i="1"/>
  <c r="BC56" i="1"/>
  <c r="BC49" i="1"/>
  <c r="BB50" i="1"/>
  <c r="BB51" i="1"/>
  <c r="BB52" i="1"/>
  <c r="BB53" i="1"/>
  <c r="BB54" i="1"/>
  <c r="BB55" i="1"/>
  <c r="BB56" i="1"/>
  <c r="BB49" i="1"/>
  <c r="BA50" i="1"/>
  <c r="BA51" i="1"/>
  <c r="BA52" i="1"/>
  <c r="BA53" i="1"/>
  <c r="BA54" i="1"/>
  <c r="BA55" i="1"/>
  <c r="BA56" i="1"/>
  <c r="BA49" i="1"/>
  <c r="AZ50" i="1"/>
  <c r="AZ51" i="1"/>
  <c r="AZ52" i="1"/>
  <c r="AZ53" i="1"/>
  <c r="AZ54" i="1"/>
  <c r="AZ55" i="1"/>
  <c r="AZ56" i="1"/>
  <c r="AZ49" i="1"/>
  <c r="AY50" i="1"/>
  <c r="AY51" i="1"/>
  <c r="AY52" i="1"/>
  <c r="AY53" i="1"/>
  <c r="AY54" i="1"/>
  <c r="AY55" i="1"/>
  <c r="AY56" i="1"/>
  <c r="AY49" i="1"/>
  <c r="AX50" i="1"/>
  <c r="AX51" i="1"/>
  <c r="AX52" i="1"/>
  <c r="AX53" i="1"/>
  <c r="AX54" i="1"/>
  <c r="AX55" i="1"/>
  <c r="AX56" i="1"/>
  <c r="AX49" i="1"/>
  <c r="AW50" i="1"/>
  <c r="AW51" i="1"/>
  <c r="AW52" i="1"/>
  <c r="AW53" i="1"/>
  <c r="AW54" i="1"/>
  <c r="AW55" i="1"/>
  <c r="AW56" i="1"/>
  <c r="AW49" i="1"/>
  <c r="AV50" i="1"/>
  <c r="AV51" i="1"/>
  <c r="AV52" i="1"/>
  <c r="AV53" i="1"/>
  <c r="AV54" i="1"/>
  <c r="AV55" i="1"/>
  <c r="AV56" i="1"/>
  <c r="AV49" i="1"/>
  <c r="AU50" i="1"/>
  <c r="AU51" i="1"/>
  <c r="AU52" i="1"/>
  <c r="AU53" i="1"/>
  <c r="AU54" i="1"/>
  <c r="AU55" i="1"/>
  <c r="AU56" i="1"/>
  <c r="AU49" i="1"/>
  <c r="AT50" i="1"/>
  <c r="AT51" i="1"/>
  <c r="AT52" i="1"/>
  <c r="AT53" i="1"/>
  <c r="AT54" i="1"/>
  <c r="AT55" i="1"/>
  <c r="AT56" i="1"/>
  <c r="AT49" i="1"/>
  <c r="AS50" i="1"/>
  <c r="AS51" i="1"/>
  <c r="AS52" i="1"/>
  <c r="AS53" i="1"/>
  <c r="AS54" i="1"/>
  <c r="AS55" i="1"/>
  <c r="AS56" i="1"/>
  <c r="AS49" i="1"/>
  <c r="AR50" i="1"/>
  <c r="AR51" i="1"/>
  <c r="AR52" i="1"/>
  <c r="AR53" i="1"/>
  <c r="AR54" i="1"/>
  <c r="AR55" i="1"/>
  <c r="AR56" i="1"/>
  <c r="AR49" i="1"/>
  <c r="AQ50" i="1"/>
  <c r="AQ51" i="1"/>
  <c r="AQ52" i="1"/>
  <c r="AQ53" i="1"/>
  <c r="AQ54" i="1"/>
  <c r="AQ55" i="1"/>
  <c r="AQ56" i="1"/>
  <c r="AQ49" i="1"/>
  <c r="AP50" i="1"/>
  <c r="AP51" i="1"/>
  <c r="AP52" i="1"/>
  <c r="AP53" i="1"/>
  <c r="AP54" i="1"/>
  <c r="AP55" i="1"/>
  <c r="AP56" i="1"/>
  <c r="AP49" i="1"/>
  <c r="AO50" i="1"/>
  <c r="AO51" i="1"/>
  <c r="AO52" i="1"/>
  <c r="AO53" i="1"/>
  <c r="AO54" i="1"/>
  <c r="AO55" i="1"/>
  <c r="AO56" i="1"/>
  <c r="AO49" i="1"/>
  <c r="AN50" i="1"/>
  <c r="AN51" i="1"/>
  <c r="AN52" i="1"/>
  <c r="AN53" i="1"/>
  <c r="AN54" i="1"/>
  <c r="AN55" i="1"/>
  <c r="AN56" i="1"/>
  <c r="AN49" i="1"/>
  <c r="AM50" i="1"/>
  <c r="AM51" i="1"/>
  <c r="AM52" i="1"/>
  <c r="AM53" i="1"/>
  <c r="AM54" i="1"/>
  <c r="AM55" i="1"/>
  <c r="AM56" i="1"/>
  <c r="AM49" i="1"/>
  <c r="AL50" i="1"/>
  <c r="AL51" i="1"/>
  <c r="AL52" i="1"/>
  <c r="AL53" i="1"/>
  <c r="AL54" i="1"/>
  <c r="AL55" i="1"/>
  <c r="AL56" i="1"/>
  <c r="AL49" i="1"/>
  <c r="AK50" i="1"/>
  <c r="AK51" i="1"/>
  <c r="AK52" i="1"/>
  <c r="AK53" i="1"/>
  <c r="AK54" i="1"/>
  <c r="AK55" i="1"/>
  <c r="AK56" i="1"/>
  <c r="AK49" i="1"/>
  <c r="AJ50" i="1"/>
  <c r="AJ51" i="1"/>
  <c r="AJ52" i="1"/>
  <c r="AJ53" i="1"/>
  <c r="AJ54" i="1"/>
  <c r="AJ55" i="1"/>
  <c r="AJ56" i="1"/>
  <c r="AJ49" i="1"/>
  <c r="AI50" i="1"/>
  <c r="AI52" i="1"/>
  <c r="AI53" i="1"/>
  <c r="AI54" i="1"/>
  <c r="AI55" i="1"/>
  <c r="AI56" i="1"/>
  <c r="AI49" i="1"/>
  <c r="AI69" i="1" s="1"/>
  <c r="BD76" i="1" s="1"/>
  <c r="AH50" i="1"/>
  <c r="AH51" i="1"/>
  <c r="AH52" i="1"/>
  <c r="AH53" i="1"/>
  <c r="AH54" i="1"/>
  <c r="AH55" i="1"/>
  <c r="AH56" i="1"/>
  <c r="AH49" i="1"/>
  <c r="AG50" i="1"/>
  <c r="AG51" i="1"/>
  <c r="AG52" i="1"/>
  <c r="AG53" i="1"/>
  <c r="AG54" i="1"/>
  <c r="AG55" i="1"/>
  <c r="AG56" i="1"/>
  <c r="AG49" i="1"/>
  <c r="AF50" i="1"/>
  <c r="AF51" i="1"/>
  <c r="AF52" i="1"/>
  <c r="AF53" i="1"/>
  <c r="AF54" i="1"/>
  <c r="AF55" i="1"/>
  <c r="AF56" i="1"/>
  <c r="AF49" i="1"/>
  <c r="AE50" i="1"/>
  <c r="AE51" i="1"/>
  <c r="AE71" i="1" s="1"/>
  <c r="BC52" i="1"/>
  <c r="AE53" i="1"/>
  <c r="AE54" i="1"/>
  <c r="BC54" i="1" s="1"/>
  <c r="AE55" i="1"/>
  <c r="AE56" i="1"/>
  <c r="AE49" i="1"/>
  <c r="AD50" i="1"/>
  <c r="AD51" i="1"/>
  <c r="AD52" i="1"/>
  <c r="AD53" i="1"/>
  <c r="AD54" i="1"/>
  <c r="AD55" i="1"/>
  <c r="AD56" i="1"/>
  <c r="AD49" i="1"/>
  <c r="Z49" i="1"/>
  <c r="Z50" i="1"/>
  <c r="Z51" i="1"/>
  <c r="Z52" i="1"/>
  <c r="Z53" i="1"/>
  <c r="Z54" i="1"/>
  <c r="Z55" i="1"/>
  <c r="Z56" i="1"/>
  <c r="AC50" i="1"/>
  <c r="AC51" i="1"/>
  <c r="AC52" i="1"/>
  <c r="AC53" i="1"/>
  <c r="AC54" i="1"/>
  <c r="AC55" i="1"/>
  <c r="AC56" i="1"/>
  <c r="AC49" i="1"/>
  <c r="AB50" i="1"/>
  <c r="AB51" i="1"/>
  <c r="AB52" i="1"/>
  <c r="AB53" i="1"/>
  <c r="AB54" i="1"/>
  <c r="AB55" i="1"/>
  <c r="AB56" i="1"/>
  <c r="AB49" i="1"/>
  <c r="AA50" i="1"/>
  <c r="AA51" i="1"/>
  <c r="AA52" i="1"/>
  <c r="AA53" i="1"/>
  <c r="AA54" i="1"/>
  <c r="AA55" i="1"/>
  <c r="AA56" i="1"/>
  <c r="AA49" i="1"/>
  <c r="BG42" i="1"/>
  <c r="BH42" i="1" s="1"/>
  <c r="BI42" i="1" s="1"/>
  <c r="BG43" i="1"/>
  <c r="BH43" i="1" s="1"/>
  <c r="BI43" i="1" s="1"/>
  <c r="BG44" i="1"/>
  <c r="BH44" i="1" s="1"/>
  <c r="BI44" i="1" s="1"/>
  <c r="BG45" i="1"/>
  <c r="BG46" i="1"/>
  <c r="BE40" i="1"/>
  <c r="BE41" i="1"/>
  <c r="BE42" i="1"/>
  <c r="BE43" i="1"/>
  <c r="BE44" i="1"/>
  <c r="BE45" i="1"/>
  <c r="BE46" i="1"/>
  <c r="BE47" i="1"/>
  <c r="BE39" i="1"/>
  <c r="BD40" i="1"/>
  <c r="BD41" i="1"/>
  <c r="BD42" i="1"/>
  <c r="BD43" i="1"/>
  <c r="BD44" i="1"/>
  <c r="BD45" i="1"/>
  <c r="BD46" i="1"/>
  <c r="BD47" i="1"/>
  <c r="BD39" i="1"/>
  <c r="BG40" i="1"/>
  <c r="BC41" i="1"/>
  <c r="BG41" i="1" s="1"/>
  <c r="BH41" i="1" s="1"/>
  <c r="BI41" i="1" s="1"/>
  <c r="BC42" i="1"/>
  <c r="BC43" i="1"/>
  <c r="BC44" i="1"/>
  <c r="BC45" i="1"/>
  <c r="BC46" i="1"/>
  <c r="BC47" i="1"/>
  <c r="BC39" i="1"/>
  <c r="BG39" i="1" s="1"/>
  <c r="BH39" i="1" s="1"/>
  <c r="BI39" i="1" s="1"/>
  <c r="AM231" i="1"/>
  <c r="AM333" i="4" l="1"/>
  <c r="AM336" i="4" s="1"/>
  <c r="AJ333" i="4"/>
  <c r="AJ336" i="4" s="1"/>
  <c r="AO333" i="4"/>
  <c r="AO336" i="4" s="1"/>
  <c r="AL333" i="4"/>
  <c r="AL336" i="4" s="1"/>
  <c r="BD49" i="1"/>
  <c r="BD54" i="1"/>
  <c r="BC53" i="1"/>
  <c r="AE73" i="1"/>
  <c r="BD52" i="1"/>
  <c r="BC51" i="1"/>
  <c r="BH40" i="1"/>
  <c r="BI40" i="1" s="1"/>
  <c r="BG47" i="1"/>
  <c r="BH47" i="1" s="1"/>
  <c r="BI47" i="1" s="1"/>
  <c r="AV59" i="1"/>
  <c r="AV60" i="1"/>
  <c r="AE70" i="1"/>
  <c r="BC50" i="1"/>
  <c r="R245" i="3"/>
  <c r="R249" i="3" s="1"/>
  <c r="Q245" i="3"/>
  <c r="Q249" i="3" s="1"/>
  <c r="P245" i="3"/>
  <c r="P249" i="3" s="1"/>
  <c r="O245" i="3"/>
  <c r="O249" i="3" s="1"/>
  <c r="Y155" i="4"/>
  <c r="Z155" i="4"/>
  <c r="W243" i="3"/>
  <c r="W244" i="3" s="1"/>
  <c r="W238" i="3"/>
  <c r="Z238" i="3"/>
  <c r="Z243" i="3"/>
  <c r="Z244" i="3" s="1"/>
  <c r="X243" i="3"/>
  <c r="X244" i="3" s="1"/>
  <c r="X238" i="3"/>
  <c r="V243" i="3"/>
  <c r="V244" i="3" s="1"/>
  <c r="V238" i="3"/>
  <c r="AC243" i="3"/>
  <c r="AC244" i="3" s="1"/>
  <c r="AC238" i="3"/>
  <c r="AB238" i="3"/>
  <c r="AB243" i="3"/>
  <c r="AB244" i="3" s="1"/>
  <c r="AA238" i="3"/>
  <c r="AA243" i="3"/>
  <c r="AA244" i="3" s="1"/>
  <c r="Y238" i="3"/>
  <c r="Y243" i="3"/>
  <c r="Y244" i="3" s="1"/>
  <c r="Y3" i="4"/>
  <c r="Z3" i="4"/>
  <c r="AA3" i="4"/>
  <c r="AM332" i="4"/>
  <c r="AM335" i="4" s="1"/>
  <c r="AB3" i="4"/>
  <c r="AC3" i="4"/>
  <c r="AE3" i="4"/>
  <c r="AP333" i="4"/>
  <c r="AP336" i="4" s="1"/>
  <c r="M13" i="4"/>
  <c r="AN333" i="4"/>
  <c r="AN336" i="4" s="1"/>
  <c r="AA332" i="4"/>
  <c r="AA335" i="4" s="1"/>
  <c r="AD3" i="4"/>
  <c r="AK333" i="4"/>
  <c r="AK336" i="4" s="1"/>
  <c r="O226" i="3"/>
  <c r="N226" i="3"/>
  <c r="M226" i="3"/>
  <c r="T226" i="3"/>
  <c r="S226" i="3"/>
  <c r="R226" i="3"/>
  <c r="P186" i="3"/>
  <c r="Q186" i="3"/>
  <c r="R186" i="3"/>
  <c r="S186" i="3"/>
  <c r="T186" i="3"/>
  <c r="N186" i="3"/>
  <c r="M186" i="3"/>
  <c r="O186" i="3"/>
  <c r="AB332" i="4"/>
  <c r="AB335" i="4" s="1"/>
  <c r="X25" i="4"/>
  <c r="Z25" i="4"/>
  <c r="AK332" i="4"/>
  <c r="AK335" i="4" s="1"/>
  <c r="Y25" i="4"/>
  <c r="AJ332" i="4"/>
  <c r="AJ335" i="4" s="1"/>
  <c r="AE25" i="4"/>
  <c r="AD25" i="4"/>
  <c r="AC25" i="4"/>
  <c r="AE310" i="4"/>
  <c r="AD310" i="4"/>
  <c r="AC310" i="4"/>
  <c r="AB310" i="4"/>
  <c r="AA310" i="4"/>
  <c r="Z310" i="4"/>
  <c r="Y310" i="4"/>
  <c r="AA311" i="4"/>
  <c r="BD53" i="1" l="1"/>
  <c r="BD51" i="1"/>
  <c r="BD50" i="1"/>
  <c r="AD238" i="3"/>
  <c r="AE13" i="4"/>
  <c r="AD13" i="4"/>
  <c r="AC13" i="4"/>
  <c r="AB13" i="4"/>
  <c r="AA13" i="4"/>
  <c r="Z13" i="4"/>
  <c r="Y13" i="4"/>
  <c r="X13" i="4"/>
  <c r="AC332" i="4"/>
  <c r="AC335" i="4" s="1"/>
  <c r="AD332" i="4"/>
  <c r="AD335" i="4" s="1"/>
  <c r="AE332" i="4"/>
  <c r="AE335" i="4" s="1"/>
  <c r="Y332" i="4"/>
  <c r="Y335" i="4" s="1"/>
  <c r="Z332" i="4"/>
  <c r="Z335" i="4" s="1"/>
  <c r="AF34" i="4"/>
  <c r="X332" i="4"/>
  <c r="X335" i="4" s="1"/>
</calcChain>
</file>

<file path=xl/sharedStrings.xml><?xml version="1.0" encoding="utf-8"?>
<sst xmlns="http://schemas.openxmlformats.org/spreadsheetml/2006/main" count="206" uniqueCount="90">
  <si>
    <t>Proposed</t>
  </si>
  <si>
    <t>Method_D_Topsis</t>
  </si>
  <si>
    <t>JaccardCent__Degree_Centrality</t>
  </si>
  <si>
    <t>JaccardCent__Betweenness_Centrality</t>
  </si>
  <si>
    <t>JaccardCent__PageRank_Centrality</t>
  </si>
  <si>
    <t>JaccardCent__Closeness_Centrality</t>
  </si>
  <si>
    <t>JaccardCent__Eigenvector_Centrality</t>
  </si>
  <si>
    <t>Method_Random</t>
  </si>
  <si>
    <t>Method_WSM</t>
  </si>
  <si>
    <t>aves16</t>
  </si>
  <si>
    <t>aves3</t>
  </si>
  <si>
    <t>enz296</t>
  </si>
  <si>
    <t>mammalia</t>
  </si>
  <si>
    <t>NC2455</t>
  </si>
  <si>
    <t>caltech</t>
  </si>
  <si>
    <t>reed</t>
  </si>
  <si>
    <t>wiki</t>
  </si>
  <si>
    <t>average</t>
  </si>
  <si>
    <t>lambda</t>
  </si>
  <si>
    <t>Betweenness_Centrality</t>
  </si>
  <si>
    <t>Closeness_Centrality</t>
  </si>
  <si>
    <t>Degree_Centrality</t>
  </si>
  <si>
    <t>Eigenvector_Centrality</t>
  </si>
  <si>
    <t>PageRank_Centrality</t>
  </si>
  <si>
    <t>copen</t>
  </si>
  <si>
    <t>power685</t>
  </si>
  <si>
    <t>power662</t>
  </si>
  <si>
    <t>power494</t>
  </si>
  <si>
    <t>enz10</t>
  </si>
  <si>
    <t>distinct</t>
  </si>
  <si>
    <t>name</t>
  </si>
  <si>
    <t>bio</t>
  </si>
  <si>
    <t>beacx</t>
  </si>
  <si>
    <t>mahindas</t>
  </si>
  <si>
    <t>enz102</t>
  </si>
  <si>
    <t>infUS</t>
  </si>
  <si>
    <t>fbfood</t>
  </si>
  <si>
    <t>insect</t>
  </si>
  <si>
    <t>jazz</t>
  </si>
  <si>
    <t>NC1918</t>
  </si>
  <si>
    <t>power1138</t>
  </si>
  <si>
    <t>power-eris</t>
  </si>
  <si>
    <t>reptilia</t>
  </si>
  <si>
    <t>retweet</t>
  </si>
  <si>
    <t>dolphin</t>
  </si>
  <si>
    <t xml:space="preserve">chesa </t>
  </si>
  <si>
    <t>Average</t>
  </si>
  <si>
    <t xml:space="preserve"> </t>
  </si>
  <si>
    <t>road-euoro</t>
  </si>
  <si>
    <t>road euro</t>
  </si>
  <si>
    <t>min</t>
  </si>
  <si>
    <t>max</t>
  </si>
  <si>
    <t>difference</t>
  </si>
  <si>
    <t>Average_diff</t>
  </si>
  <si>
    <t>multi*100</t>
  </si>
  <si>
    <t>econ-mahindas</t>
  </si>
  <si>
    <t>aves-16</t>
  </si>
  <si>
    <t>aves-3</t>
  </si>
  <si>
    <t>beaccxc</t>
  </si>
  <si>
    <t>enz-g10</t>
  </si>
  <si>
    <t>enz-g102</t>
  </si>
  <si>
    <t>enz-g296</t>
  </si>
  <si>
    <t>food</t>
  </si>
  <si>
    <t>insecta</t>
  </si>
  <si>
    <t>us air</t>
  </si>
  <si>
    <t>NCg1918</t>
  </si>
  <si>
    <t>NCg2455</t>
  </si>
  <si>
    <t>power 494</t>
  </si>
  <si>
    <t>power eris</t>
  </si>
  <si>
    <t>reptillia</t>
  </si>
  <si>
    <t>road-chesapeake</t>
  </si>
  <si>
    <t>euro road</t>
  </si>
  <si>
    <t>rt-retweet</t>
  </si>
  <si>
    <t>rt-twitter</t>
  </si>
  <si>
    <t>beacxc</t>
  </si>
  <si>
    <t>us-air</t>
  </si>
  <si>
    <t>foods</t>
  </si>
  <si>
    <t>mamalia</t>
  </si>
  <si>
    <t>NCI-g1918</t>
  </si>
  <si>
    <t>road-euroroad</t>
  </si>
  <si>
    <t>caltec</t>
  </si>
  <si>
    <t>av wo football</t>
  </si>
  <si>
    <t>av w football</t>
  </si>
  <si>
    <t>normailzed</t>
  </si>
  <si>
    <t>differenc normalized</t>
  </si>
  <si>
    <t>perc_wo_football</t>
  </si>
  <si>
    <t>min bench</t>
  </si>
  <si>
    <t>max bench</t>
  </si>
  <si>
    <t xml:space="preserve">average </t>
  </si>
  <si>
    <t xml:space="preserve">av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</si>
</sst>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2" borderId="0" xfId="0" applyFill="1"/>
    <xf numFmtId="14" fontId="0" fillId="0" borderId="0" xfId="0" applyNumberFormat="1"/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0" fillId="3" borderId="0" xfId="0" applyFill="1"/>
    <xf numFmtId="9" fontId="0" fillId="0" borderId="0" xfId="0" applyNumberFormat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DB468-0591-4360-8865-59D654526F56}">
  <dimension ref="A1:AP420"/>
  <sheetViews>
    <sheetView topLeftCell="A309" zoomScale="71" zoomScaleNormal="85" workbookViewId="0">
      <selection activeCell="Y323" sqref="Y323"/>
    </sheetView>
  </sheetViews>
  <sheetFormatPr defaultRowHeight="15" x14ac:dyDescent="0.25"/>
  <sheetData>
    <row r="1" spans="1:42" x14ac:dyDescent="0.25">
      <c r="A1" t="s">
        <v>57</v>
      </c>
      <c r="O1" t="s">
        <v>83</v>
      </c>
      <c r="Z1" t="s">
        <v>84</v>
      </c>
    </row>
    <row r="2" spans="1:42" x14ac:dyDescent="0.25">
      <c r="A2" s="6" t="s">
        <v>18</v>
      </c>
      <c r="B2" s="6" t="s">
        <v>0</v>
      </c>
      <c r="C2" s="6" t="s">
        <v>1</v>
      </c>
      <c r="D2" s="6" t="s">
        <v>19</v>
      </c>
      <c r="E2" s="6" t="s">
        <v>20</v>
      </c>
      <c r="F2" s="6" t="s">
        <v>21</v>
      </c>
      <c r="G2" s="6" t="s">
        <v>22</v>
      </c>
      <c r="H2" s="6" t="s">
        <v>23</v>
      </c>
      <c r="I2" s="6" t="s">
        <v>7</v>
      </c>
      <c r="J2" s="6" t="s">
        <v>8</v>
      </c>
      <c r="N2" s="6" t="s">
        <v>1</v>
      </c>
      <c r="O2" s="6" t="s">
        <v>19</v>
      </c>
      <c r="P2" s="6" t="s">
        <v>20</v>
      </c>
      <c r="Q2" s="6" t="s">
        <v>21</v>
      </c>
      <c r="R2" s="6" t="s">
        <v>22</v>
      </c>
      <c r="S2" s="6" t="s">
        <v>23</v>
      </c>
      <c r="T2" s="6" t="s">
        <v>7</v>
      </c>
      <c r="U2" s="6" t="s">
        <v>8</v>
      </c>
      <c r="W2" s="7" t="s">
        <v>0</v>
      </c>
      <c r="X2" s="6" t="s">
        <v>1</v>
      </c>
      <c r="Y2" s="6" t="s">
        <v>19</v>
      </c>
      <c r="Z2" s="6" t="s">
        <v>20</v>
      </c>
      <c r="AA2" s="6" t="s">
        <v>21</v>
      </c>
      <c r="AB2" s="6" t="s">
        <v>22</v>
      </c>
      <c r="AC2" s="6" t="s">
        <v>23</v>
      </c>
      <c r="AD2" s="6" t="s">
        <v>7</v>
      </c>
      <c r="AE2" s="6" t="s">
        <v>8</v>
      </c>
      <c r="AI2" s="6" t="s">
        <v>1</v>
      </c>
      <c r="AJ2" s="6" t="s">
        <v>19</v>
      </c>
      <c r="AK2" s="6" t="s">
        <v>20</v>
      </c>
      <c r="AL2" s="6" t="s">
        <v>21</v>
      </c>
      <c r="AM2" s="6" t="s">
        <v>22</v>
      </c>
      <c r="AN2" s="6" t="s">
        <v>23</v>
      </c>
      <c r="AO2" s="6" t="s">
        <v>7</v>
      </c>
      <c r="AP2" s="6" t="s">
        <v>8</v>
      </c>
    </row>
    <row r="3" spans="1:42" x14ac:dyDescent="0.25">
      <c r="A3">
        <v>5.2600000000000001E-2</v>
      </c>
      <c r="B3">
        <v>0.80977326092854196</v>
      </c>
      <c r="C3">
        <v>0.72827611904435874</v>
      </c>
      <c r="D3">
        <v>0.42251324617761538</v>
      </c>
      <c r="E3">
        <v>0.82062545632696893</v>
      </c>
      <c r="F3">
        <v>0.80482262214328093</v>
      </c>
      <c r="G3">
        <v>0.82004596926319562</v>
      </c>
      <c r="H3">
        <v>0.59885709950497357</v>
      </c>
      <c r="I3">
        <v>0.85298899241867554</v>
      </c>
      <c r="J3">
        <v>0.65297778040326193</v>
      </c>
      <c r="M3">
        <f>(B3+1)/2</f>
        <v>0.90488663046427098</v>
      </c>
      <c r="N3">
        <f t="shared" ref="N3:U3" si="0">(C3+1)/2</f>
        <v>0.86413805952217937</v>
      </c>
      <c r="O3">
        <f t="shared" si="0"/>
        <v>0.71125662308880766</v>
      </c>
      <c r="P3">
        <f t="shared" si="0"/>
        <v>0.91031272816348441</v>
      </c>
      <c r="Q3">
        <f t="shared" si="0"/>
        <v>0.90241131107164052</v>
      </c>
      <c r="R3">
        <f t="shared" si="0"/>
        <v>0.91002298463159781</v>
      </c>
      <c r="S3">
        <f t="shared" si="0"/>
        <v>0.79942854975248678</v>
      </c>
      <c r="T3">
        <f t="shared" si="0"/>
        <v>0.92649449620933777</v>
      </c>
      <c r="U3">
        <f t="shared" si="0"/>
        <v>0.82648889020163097</v>
      </c>
      <c r="X3">
        <f>M3-N3</f>
        <v>4.0748570942091611E-2</v>
      </c>
      <c r="Y3">
        <f>M3-O3</f>
        <v>0.19363000737546332</v>
      </c>
      <c r="Z3">
        <f>M3-P3</f>
        <v>-5.426097699213428E-3</v>
      </c>
      <c r="AA3">
        <f>M3-Q3</f>
        <v>2.4753193926304595E-3</v>
      </c>
      <c r="AB3">
        <f>M3-R3</f>
        <v>-5.1363541673268287E-3</v>
      </c>
      <c r="AC3">
        <f>M3-S3</f>
        <v>0.1054580807117842</v>
      </c>
      <c r="AD3">
        <f>M3-T3</f>
        <v>-2.160786574506679E-2</v>
      </c>
      <c r="AE3">
        <f>M3-U3</f>
        <v>7.8397740262640014E-2</v>
      </c>
      <c r="AI3">
        <f>B3-C3</f>
        <v>8.1497141884183222E-2</v>
      </c>
      <c r="AJ3">
        <f>B3-D3</f>
        <v>0.38726001475092658</v>
      </c>
      <c r="AK3">
        <f>B3-E3</f>
        <v>-1.0852195398426967E-2</v>
      </c>
      <c r="AL3">
        <f>B3-F3</f>
        <v>4.9506387852610301E-3</v>
      </c>
      <c r="AM3">
        <f>B3-G3</f>
        <v>-1.0272708334653657E-2</v>
      </c>
      <c r="AN3">
        <f>B3-H3</f>
        <v>0.21091616142356839</v>
      </c>
      <c r="AO3">
        <f>B3-I3</f>
        <v>-4.321573149013358E-2</v>
      </c>
      <c r="AP3">
        <f>B3-J3</f>
        <v>0.15679548052528003</v>
      </c>
    </row>
    <row r="4" spans="1:42" x14ac:dyDescent="0.25">
      <c r="A4">
        <v>6.4299999999999996E-2</v>
      </c>
      <c r="B4">
        <v>0.82537890620519161</v>
      </c>
      <c r="C4">
        <v>0.74400428438502886</v>
      </c>
      <c r="D4">
        <v>0.44820979263755872</v>
      </c>
      <c r="E4">
        <v>0.81992209309135256</v>
      </c>
      <c r="F4">
        <v>0.81769968588388198</v>
      </c>
      <c r="G4">
        <v>0.79815649495735697</v>
      </c>
      <c r="H4">
        <v>0.61215542386109967</v>
      </c>
      <c r="I4">
        <v>0.86408092521932145</v>
      </c>
      <c r="J4">
        <v>0.68043429806099165</v>
      </c>
      <c r="M4">
        <f t="shared" ref="M4:M67" si="1">(B4+1)/2</f>
        <v>0.91268945310259575</v>
      </c>
      <c r="N4">
        <f t="shared" ref="N4:N67" si="2">(C4+1)/2</f>
        <v>0.87200214219251437</v>
      </c>
      <c r="O4">
        <f t="shared" ref="O4:O67" si="3">(D4+1)/2</f>
        <v>0.72410489631877939</v>
      </c>
      <c r="P4">
        <f t="shared" ref="P4:P67" si="4">(E4+1)/2</f>
        <v>0.90996104654567622</v>
      </c>
      <c r="Q4">
        <f t="shared" ref="Q4:Q67" si="5">(F4+1)/2</f>
        <v>0.90884984294194093</v>
      </c>
      <c r="R4">
        <f t="shared" ref="R4:R67" si="6">(G4+1)/2</f>
        <v>0.89907824747867848</v>
      </c>
      <c r="S4">
        <f t="shared" ref="S4:S67" si="7">(H4+1)/2</f>
        <v>0.80607771193054978</v>
      </c>
      <c r="T4">
        <f t="shared" ref="T4:T67" si="8">(I4+1)/2</f>
        <v>0.93204046260966078</v>
      </c>
      <c r="U4">
        <f t="shared" ref="U4:U67" si="9">(J4+1)/2</f>
        <v>0.84021714903049582</v>
      </c>
      <c r="X4">
        <f t="shared" ref="X4:X67" si="10">M4-N4</f>
        <v>4.0687310910081376E-2</v>
      </c>
      <c r="Y4">
        <f t="shared" ref="Y4:Y67" si="11">M4-O4</f>
        <v>0.18858455678381636</v>
      </c>
      <c r="Z4">
        <f t="shared" ref="Z4:Z67" si="12">M4-P4</f>
        <v>2.728406556919527E-3</v>
      </c>
      <c r="AA4">
        <f t="shared" ref="AA4:AA67" si="13">M4-Q4</f>
        <v>3.8396101606548161E-3</v>
      </c>
      <c r="AB4">
        <f t="shared" ref="AB4:AB67" si="14">M4-R4</f>
        <v>1.3611205623917266E-2</v>
      </c>
      <c r="AC4">
        <f t="shared" ref="AC4:AC67" si="15">M4-S4</f>
        <v>0.10661174117204597</v>
      </c>
      <c r="AD4">
        <f t="shared" ref="AD4:AD67" si="16">M4-T4</f>
        <v>-1.9351009507065031E-2</v>
      </c>
      <c r="AE4">
        <f t="shared" ref="AE4:AE67" si="17">M4-U4</f>
        <v>7.2472304072099925E-2</v>
      </c>
      <c r="AI4">
        <f t="shared" ref="AI4:AI67" si="18">B4-C4</f>
        <v>8.1374621820162751E-2</v>
      </c>
      <c r="AJ4">
        <f t="shared" ref="AJ4:AJ67" si="19">B4-D4</f>
        <v>0.37716911356763289</v>
      </c>
      <c r="AK4">
        <f t="shared" ref="AK4:AK67" si="20">B4-E4</f>
        <v>5.4568131138390541E-3</v>
      </c>
      <c r="AL4">
        <f t="shared" ref="AL4:AL67" si="21">B4-F4</f>
        <v>7.6792203213096322E-3</v>
      </c>
      <c r="AM4">
        <f t="shared" ref="AM4:AM67" si="22">B4-G4</f>
        <v>2.7222411247834644E-2</v>
      </c>
      <c r="AN4">
        <f t="shared" ref="AN4:AN67" si="23">B4-H4</f>
        <v>0.21322348234409194</v>
      </c>
      <c r="AO4">
        <f t="shared" ref="AO4:AO67" si="24">B4-I4</f>
        <v>-3.870201901412984E-2</v>
      </c>
      <c r="AP4">
        <f t="shared" ref="AP4:AP67" si="25">B4-J4</f>
        <v>0.14494460814419996</v>
      </c>
    </row>
    <row r="5" spans="1:42" x14ac:dyDescent="0.25">
      <c r="A5">
        <v>7.5999999999999998E-2</v>
      </c>
      <c r="B5">
        <v>0.84665082853499674</v>
      </c>
      <c r="C5">
        <v>0.7217227028461084</v>
      </c>
      <c r="D5">
        <v>0.42916598557030761</v>
      </c>
      <c r="E5">
        <v>0.81425820431467766</v>
      </c>
      <c r="F5">
        <v>0.79303011831938053</v>
      </c>
      <c r="G5">
        <v>0.81134839797078862</v>
      </c>
      <c r="H5">
        <v>0.59200130200775558</v>
      </c>
      <c r="I5">
        <v>0.8608783873817959</v>
      </c>
      <c r="J5">
        <v>0.63681414957009574</v>
      </c>
      <c r="M5">
        <f t="shared" si="1"/>
        <v>0.92332541426749837</v>
      </c>
      <c r="N5">
        <f t="shared" si="2"/>
        <v>0.8608613514230542</v>
      </c>
      <c r="O5">
        <f t="shared" si="3"/>
        <v>0.7145829927851538</v>
      </c>
      <c r="P5">
        <f t="shared" si="4"/>
        <v>0.90712910215733888</v>
      </c>
      <c r="Q5">
        <f t="shared" si="5"/>
        <v>0.89651505915969021</v>
      </c>
      <c r="R5">
        <f t="shared" si="6"/>
        <v>0.90567419898539425</v>
      </c>
      <c r="S5">
        <f t="shared" si="7"/>
        <v>0.79600065100387773</v>
      </c>
      <c r="T5">
        <f t="shared" si="8"/>
        <v>0.930439193690898</v>
      </c>
      <c r="U5">
        <f t="shared" si="9"/>
        <v>0.81840707478504782</v>
      </c>
      <c r="X5">
        <f t="shared" si="10"/>
        <v>6.2464062844444168E-2</v>
      </c>
      <c r="Y5">
        <f t="shared" si="11"/>
        <v>0.20874242148234456</v>
      </c>
      <c r="Z5">
        <f t="shared" si="12"/>
        <v>1.6196312110159483E-2</v>
      </c>
      <c r="AA5">
        <f t="shared" si="13"/>
        <v>2.6810355107808159E-2</v>
      </c>
      <c r="AB5">
        <f t="shared" si="14"/>
        <v>1.7651215282104116E-2</v>
      </c>
      <c r="AC5">
        <f t="shared" si="15"/>
        <v>0.12732476326362063</v>
      </c>
      <c r="AD5">
        <f t="shared" si="16"/>
        <v>-7.1137794233996354E-3</v>
      </c>
      <c r="AE5">
        <f t="shared" si="17"/>
        <v>0.10491833948245055</v>
      </c>
      <c r="AI5">
        <f t="shared" si="18"/>
        <v>0.12492812568888834</v>
      </c>
      <c r="AJ5">
        <f t="shared" si="19"/>
        <v>0.41748484296468913</v>
      </c>
      <c r="AK5">
        <f t="shared" si="20"/>
        <v>3.2392624220319077E-2</v>
      </c>
      <c r="AL5">
        <f t="shared" si="21"/>
        <v>5.3620710215616207E-2</v>
      </c>
      <c r="AM5">
        <f t="shared" si="22"/>
        <v>3.530243056420812E-2</v>
      </c>
      <c r="AN5">
        <f t="shared" si="23"/>
        <v>0.25464952652724115</v>
      </c>
      <c r="AO5">
        <f t="shared" si="24"/>
        <v>-1.422755884679916E-2</v>
      </c>
      <c r="AP5">
        <f t="shared" si="25"/>
        <v>0.20983667896490099</v>
      </c>
    </row>
    <row r="6" spans="1:42" x14ac:dyDescent="0.25">
      <c r="A6">
        <v>8.77E-2</v>
      </c>
      <c r="B6">
        <v>0.85099009934555014</v>
      </c>
      <c r="C6">
        <v>0.73223206469539226</v>
      </c>
      <c r="D6">
        <v>0.436898504495286</v>
      </c>
      <c r="E6">
        <v>0.79156743857522505</v>
      </c>
      <c r="F6">
        <v>0.80156903957661274</v>
      </c>
      <c r="G6">
        <v>0.77225761164015649</v>
      </c>
      <c r="H6">
        <v>0.59567431629560852</v>
      </c>
      <c r="I6">
        <v>0.82405537827455722</v>
      </c>
      <c r="J6">
        <v>0.64982652686793663</v>
      </c>
      <c r="M6">
        <f t="shared" si="1"/>
        <v>0.92549504967277507</v>
      </c>
      <c r="N6">
        <f t="shared" si="2"/>
        <v>0.86611603234769619</v>
      </c>
      <c r="O6">
        <f t="shared" si="3"/>
        <v>0.718449252247643</v>
      </c>
      <c r="P6">
        <f t="shared" si="4"/>
        <v>0.89578371928761258</v>
      </c>
      <c r="Q6">
        <f t="shared" si="5"/>
        <v>0.90078451978830643</v>
      </c>
      <c r="R6">
        <f t="shared" si="6"/>
        <v>0.88612880582007825</v>
      </c>
      <c r="S6">
        <f t="shared" si="7"/>
        <v>0.79783715814780432</v>
      </c>
      <c r="T6">
        <f t="shared" si="8"/>
        <v>0.91202768913727861</v>
      </c>
      <c r="U6">
        <f t="shared" si="9"/>
        <v>0.82491326343396831</v>
      </c>
      <c r="X6">
        <f t="shared" si="10"/>
        <v>5.9379017325078887E-2</v>
      </c>
      <c r="Y6">
        <f t="shared" si="11"/>
        <v>0.20704579742513207</v>
      </c>
      <c r="Z6">
        <f t="shared" si="12"/>
        <v>2.9711330385162493E-2</v>
      </c>
      <c r="AA6">
        <f t="shared" si="13"/>
        <v>2.4710529884468646E-2</v>
      </c>
      <c r="AB6">
        <f t="shared" si="14"/>
        <v>3.9366243852696825E-2</v>
      </c>
      <c r="AC6">
        <f t="shared" si="15"/>
        <v>0.12765789152497076</v>
      </c>
      <c r="AD6">
        <f t="shared" si="16"/>
        <v>1.3467360535496464E-2</v>
      </c>
      <c r="AE6">
        <f t="shared" si="17"/>
        <v>0.10058178623880676</v>
      </c>
      <c r="AI6">
        <f t="shared" si="18"/>
        <v>0.11875803465015788</v>
      </c>
      <c r="AJ6">
        <f t="shared" si="19"/>
        <v>0.41409159485026414</v>
      </c>
      <c r="AK6">
        <f t="shared" si="20"/>
        <v>5.9422660770325098E-2</v>
      </c>
      <c r="AL6">
        <f t="shared" si="21"/>
        <v>4.9421059768937403E-2</v>
      </c>
      <c r="AM6">
        <f t="shared" si="22"/>
        <v>7.873248770539365E-2</v>
      </c>
      <c r="AN6">
        <f t="shared" si="23"/>
        <v>0.25531578304994162</v>
      </c>
      <c r="AO6">
        <f t="shared" si="24"/>
        <v>2.6934721070992929E-2</v>
      </c>
      <c r="AP6">
        <f t="shared" si="25"/>
        <v>0.20116357247761352</v>
      </c>
    </row>
    <row r="7" spans="1:42" x14ac:dyDescent="0.25">
      <c r="A7">
        <v>9.9299999999999999E-2</v>
      </c>
      <c r="B7">
        <v>0.8865621046372828</v>
      </c>
      <c r="C7">
        <v>0.73533533829196163</v>
      </c>
      <c r="D7">
        <v>0.42110015839775722</v>
      </c>
      <c r="E7">
        <v>0.8418790652678112</v>
      </c>
      <c r="F7">
        <v>0.80358252565307553</v>
      </c>
      <c r="G7">
        <v>0.85298899241867554</v>
      </c>
      <c r="H7">
        <v>0.59179788025737079</v>
      </c>
      <c r="I7">
        <v>0.86004821166627832</v>
      </c>
      <c r="J7">
        <v>0.64591856115565915</v>
      </c>
      <c r="M7">
        <f t="shared" si="1"/>
        <v>0.94328105231864146</v>
      </c>
      <c r="N7">
        <f t="shared" si="2"/>
        <v>0.86766766914598081</v>
      </c>
      <c r="O7">
        <f t="shared" si="3"/>
        <v>0.71055007919887858</v>
      </c>
      <c r="P7">
        <f t="shared" si="4"/>
        <v>0.9209395326339056</v>
      </c>
      <c r="Q7">
        <f t="shared" si="5"/>
        <v>0.90179126282653777</v>
      </c>
      <c r="R7">
        <f t="shared" si="6"/>
        <v>0.92649449620933777</v>
      </c>
      <c r="S7">
        <f t="shared" si="7"/>
        <v>0.79589894012868534</v>
      </c>
      <c r="T7">
        <f t="shared" si="8"/>
        <v>0.9300241058331391</v>
      </c>
      <c r="U7">
        <f t="shared" si="9"/>
        <v>0.82295928057782963</v>
      </c>
      <c r="X7">
        <f t="shared" si="10"/>
        <v>7.5613383172660642E-2</v>
      </c>
      <c r="Y7">
        <f t="shared" si="11"/>
        <v>0.23273097311976287</v>
      </c>
      <c r="Z7">
        <f t="shared" si="12"/>
        <v>2.2341519684735855E-2</v>
      </c>
      <c r="AA7">
        <f t="shared" si="13"/>
        <v>4.148978949210369E-2</v>
      </c>
      <c r="AB7">
        <f t="shared" si="14"/>
        <v>1.6786556109303685E-2</v>
      </c>
      <c r="AC7">
        <f t="shared" si="15"/>
        <v>0.14738211218995612</v>
      </c>
      <c r="AD7">
        <f t="shared" si="16"/>
        <v>1.3256946485502352E-2</v>
      </c>
      <c r="AE7">
        <f t="shared" si="17"/>
        <v>0.12032177174081182</v>
      </c>
      <c r="AI7">
        <f t="shared" si="18"/>
        <v>0.15122676634532117</v>
      </c>
      <c r="AJ7">
        <f t="shared" si="19"/>
        <v>0.46546194623952558</v>
      </c>
      <c r="AK7">
        <f t="shared" si="20"/>
        <v>4.46830393694716E-2</v>
      </c>
      <c r="AL7">
        <f t="shared" si="21"/>
        <v>8.297957898420727E-2</v>
      </c>
      <c r="AM7">
        <f t="shared" si="22"/>
        <v>3.3573112218607259E-2</v>
      </c>
      <c r="AN7">
        <f t="shared" si="23"/>
        <v>0.29476422437991201</v>
      </c>
      <c r="AO7">
        <f t="shared" si="24"/>
        <v>2.6513892971004482E-2</v>
      </c>
      <c r="AP7">
        <f t="shared" si="25"/>
        <v>0.24064354348162365</v>
      </c>
    </row>
    <row r="8" spans="1:42" x14ac:dyDescent="0.25">
      <c r="A8">
        <v>0.111</v>
      </c>
      <c r="B8">
        <v>0.8848837209302326</v>
      </c>
      <c r="C8">
        <v>0.73843525032320234</v>
      </c>
      <c r="D8">
        <v>0.41379393162145689</v>
      </c>
      <c r="E8">
        <v>0.81660800162914515</v>
      </c>
      <c r="F8">
        <v>0.80311519061753078</v>
      </c>
      <c r="G8">
        <v>0.84896536740979633</v>
      </c>
      <c r="H8">
        <v>0.59262956395365285</v>
      </c>
      <c r="I8">
        <v>0.84426195817206895</v>
      </c>
      <c r="J8">
        <v>0.63731195171206312</v>
      </c>
      <c r="M8">
        <f t="shared" si="1"/>
        <v>0.94244186046511635</v>
      </c>
      <c r="N8">
        <f t="shared" si="2"/>
        <v>0.86921762516160117</v>
      </c>
      <c r="O8">
        <f t="shared" si="3"/>
        <v>0.70689696581072847</v>
      </c>
      <c r="P8">
        <f t="shared" si="4"/>
        <v>0.90830400081457263</v>
      </c>
      <c r="Q8">
        <f t="shared" si="5"/>
        <v>0.90155759530876534</v>
      </c>
      <c r="R8">
        <f t="shared" si="6"/>
        <v>0.92448268370489817</v>
      </c>
      <c r="S8">
        <f t="shared" si="7"/>
        <v>0.79631478197682637</v>
      </c>
      <c r="T8">
        <f t="shared" si="8"/>
        <v>0.92213097908603447</v>
      </c>
      <c r="U8">
        <f t="shared" si="9"/>
        <v>0.81865597585603156</v>
      </c>
      <c r="X8">
        <f t="shared" si="10"/>
        <v>7.3224235303515184E-2</v>
      </c>
      <c r="Y8">
        <f t="shared" si="11"/>
        <v>0.23554489465438788</v>
      </c>
      <c r="Z8">
        <f t="shared" si="12"/>
        <v>3.4137859650543723E-2</v>
      </c>
      <c r="AA8">
        <f t="shared" si="13"/>
        <v>4.0884265156351018E-2</v>
      </c>
      <c r="AB8">
        <f t="shared" si="14"/>
        <v>1.7959176760218187E-2</v>
      </c>
      <c r="AC8">
        <f t="shared" si="15"/>
        <v>0.14612707848828999</v>
      </c>
      <c r="AD8">
        <f t="shared" si="16"/>
        <v>2.031088137908188E-2</v>
      </c>
      <c r="AE8">
        <f t="shared" si="17"/>
        <v>0.1237858846090848</v>
      </c>
      <c r="AI8">
        <f t="shared" si="18"/>
        <v>0.14644847060703026</v>
      </c>
      <c r="AJ8">
        <f t="shared" si="19"/>
        <v>0.47108978930877571</v>
      </c>
      <c r="AK8">
        <f t="shared" si="20"/>
        <v>6.8275719301087445E-2</v>
      </c>
      <c r="AL8">
        <f t="shared" si="21"/>
        <v>8.1768530312701815E-2</v>
      </c>
      <c r="AM8">
        <f t="shared" si="22"/>
        <v>3.5918353520436264E-2</v>
      </c>
      <c r="AN8">
        <f t="shared" si="23"/>
        <v>0.29225415697657975</v>
      </c>
      <c r="AO8">
        <f t="shared" si="24"/>
        <v>4.0621762758163649E-2</v>
      </c>
      <c r="AP8">
        <f t="shared" si="25"/>
        <v>0.24757176921816948</v>
      </c>
    </row>
    <row r="9" spans="1:42" x14ac:dyDescent="0.25">
      <c r="A9">
        <v>0.1227</v>
      </c>
      <c r="B9">
        <v>0.85764105123150158</v>
      </c>
      <c r="C9">
        <v>0.69452503856082626</v>
      </c>
      <c r="D9">
        <v>0.38250175996539582</v>
      </c>
      <c r="E9">
        <v>0.83382440134121838</v>
      </c>
      <c r="F9">
        <v>0.75434111114905089</v>
      </c>
      <c r="G9">
        <v>0.86609975197856004</v>
      </c>
      <c r="H9">
        <v>0.52765100222303041</v>
      </c>
      <c r="I9">
        <v>0.84259636657887038</v>
      </c>
      <c r="J9">
        <v>0.60521217404200589</v>
      </c>
      <c r="M9">
        <f t="shared" si="1"/>
        <v>0.92882052561575079</v>
      </c>
      <c r="N9">
        <f t="shared" si="2"/>
        <v>0.84726251928041307</v>
      </c>
      <c r="O9">
        <f t="shared" si="3"/>
        <v>0.69125087998269796</v>
      </c>
      <c r="P9">
        <f t="shared" si="4"/>
        <v>0.91691220067060919</v>
      </c>
      <c r="Q9">
        <f t="shared" si="5"/>
        <v>0.8771705555745255</v>
      </c>
      <c r="R9">
        <f t="shared" si="6"/>
        <v>0.93304987598928002</v>
      </c>
      <c r="S9">
        <f t="shared" si="7"/>
        <v>0.76382550111151515</v>
      </c>
      <c r="T9">
        <f t="shared" si="8"/>
        <v>0.92129818328943514</v>
      </c>
      <c r="U9">
        <f t="shared" si="9"/>
        <v>0.802606087021003</v>
      </c>
      <c r="X9">
        <f t="shared" si="10"/>
        <v>8.1558006335337718E-2</v>
      </c>
      <c r="Y9">
        <f t="shared" si="11"/>
        <v>0.23756964563305283</v>
      </c>
      <c r="Z9">
        <f t="shared" si="12"/>
        <v>1.1908324945141602E-2</v>
      </c>
      <c r="AA9">
        <f t="shared" si="13"/>
        <v>5.164997004122529E-2</v>
      </c>
      <c r="AB9">
        <f t="shared" si="14"/>
        <v>-4.2293503735292282E-3</v>
      </c>
      <c r="AC9">
        <f t="shared" si="15"/>
        <v>0.16499502450423564</v>
      </c>
      <c r="AD9">
        <f t="shared" si="16"/>
        <v>7.5223423263156564E-3</v>
      </c>
      <c r="AE9">
        <f t="shared" si="17"/>
        <v>0.12621443859474779</v>
      </c>
      <c r="AI9">
        <f t="shared" si="18"/>
        <v>0.16311601267067533</v>
      </c>
      <c r="AJ9">
        <f t="shared" si="19"/>
        <v>0.47513929126610577</v>
      </c>
      <c r="AK9">
        <f t="shared" si="20"/>
        <v>2.3816649890283204E-2</v>
      </c>
      <c r="AL9">
        <f t="shared" si="21"/>
        <v>0.10329994008245069</v>
      </c>
      <c r="AM9">
        <f t="shared" si="22"/>
        <v>-8.4587007470584563E-3</v>
      </c>
      <c r="AN9">
        <f t="shared" si="23"/>
        <v>0.32999004900847118</v>
      </c>
      <c r="AO9">
        <f t="shared" si="24"/>
        <v>1.5044684652631202E-2</v>
      </c>
      <c r="AP9">
        <f t="shared" si="25"/>
        <v>0.25242887718949569</v>
      </c>
    </row>
    <row r="10" spans="1:42" x14ac:dyDescent="0.25">
      <c r="A10">
        <v>0.13439999999999999</v>
      </c>
      <c r="B10">
        <v>0.83604651162790711</v>
      </c>
      <c r="C10">
        <v>0.68669774870820088</v>
      </c>
      <c r="D10">
        <v>0.38131181412216159</v>
      </c>
      <c r="E10">
        <v>0.80480730796398403</v>
      </c>
      <c r="F10">
        <v>0.7473433023802023</v>
      </c>
      <c r="G10">
        <v>0.82780002584002299</v>
      </c>
      <c r="H10">
        <v>0.52913353924433293</v>
      </c>
      <c r="I10">
        <v>0.81133809350797714</v>
      </c>
      <c r="J10">
        <v>0.60203638242910762</v>
      </c>
      <c r="M10">
        <f t="shared" si="1"/>
        <v>0.91802325581395361</v>
      </c>
      <c r="N10">
        <f t="shared" si="2"/>
        <v>0.84334887435410044</v>
      </c>
      <c r="O10">
        <f t="shared" si="3"/>
        <v>0.69065590706108082</v>
      </c>
      <c r="P10">
        <f t="shared" si="4"/>
        <v>0.90240365398199196</v>
      </c>
      <c r="Q10">
        <f t="shared" si="5"/>
        <v>0.87367165119010115</v>
      </c>
      <c r="R10">
        <f t="shared" si="6"/>
        <v>0.91390001292001144</v>
      </c>
      <c r="S10">
        <f t="shared" si="7"/>
        <v>0.76456676962216652</v>
      </c>
      <c r="T10">
        <f t="shared" si="8"/>
        <v>0.90566904675398852</v>
      </c>
      <c r="U10">
        <f t="shared" si="9"/>
        <v>0.80101819121455375</v>
      </c>
      <c r="X10">
        <f t="shared" si="10"/>
        <v>7.4674381459853167E-2</v>
      </c>
      <c r="Y10">
        <f t="shared" si="11"/>
        <v>0.22736734875287279</v>
      </c>
      <c r="Z10">
        <f t="shared" si="12"/>
        <v>1.5619601831961649E-2</v>
      </c>
      <c r="AA10">
        <f t="shared" si="13"/>
        <v>4.4351604623852459E-2</v>
      </c>
      <c r="AB10">
        <f t="shared" si="14"/>
        <v>4.1232428939421695E-3</v>
      </c>
      <c r="AC10">
        <f t="shared" si="15"/>
        <v>0.15345648619178709</v>
      </c>
      <c r="AD10">
        <f t="shared" si="16"/>
        <v>1.2354209059965093E-2</v>
      </c>
      <c r="AE10">
        <f t="shared" si="17"/>
        <v>0.11700506459939986</v>
      </c>
      <c r="AI10">
        <f t="shared" si="18"/>
        <v>0.14934876291970622</v>
      </c>
      <c r="AJ10">
        <f t="shared" si="19"/>
        <v>0.45473469750574552</v>
      </c>
      <c r="AK10">
        <f t="shared" si="20"/>
        <v>3.1239203663923076E-2</v>
      </c>
      <c r="AL10">
        <f t="shared" si="21"/>
        <v>8.8703209247704806E-2</v>
      </c>
      <c r="AM10">
        <f t="shared" si="22"/>
        <v>8.2464857878841169E-3</v>
      </c>
      <c r="AN10">
        <f t="shared" si="23"/>
        <v>0.30691297238357418</v>
      </c>
      <c r="AO10">
        <f t="shared" si="24"/>
        <v>2.4708418119929965E-2</v>
      </c>
      <c r="AP10">
        <f t="shared" si="25"/>
        <v>0.23401012919879949</v>
      </c>
    </row>
    <row r="11" spans="1:42" x14ac:dyDescent="0.25">
      <c r="A11">
        <v>0.14610000000000001</v>
      </c>
      <c r="B11">
        <v>0.83439874632007871</v>
      </c>
      <c r="C11">
        <v>0.69452503856082626</v>
      </c>
      <c r="D11">
        <v>0.38250175996539582</v>
      </c>
      <c r="E11">
        <v>0.80316042052810432</v>
      </c>
      <c r="F11">
        <v>0.77168228611799461</v>
      </c>
      <c r="G11">
        <v>0.82379365825911877</v>
      </c>
      <c r="H11">
        <v>0.54175303346284409</v>
      </c>
      <c r="I11">
        <v>0.81439230409924301</v>
      </c>
      <c r="J11">
        <v>0.60991285112194382</v>
      </c>
      <c r="M11">
        <f t="shared" si="1"/>
        <v>0.91719937316003941</v>
      </c>
      <c r="N11">
        <f t="shared" si="2"/>
        <v>0.84726251928041307</v>
      </c>
      <c r="O11">
        <f t="shared" si="3"/>
        <v>0.69125087998269796</v>
      </c>
      <c r="P11">
        <f t="shared" si="4"/>
        <v>0.90158021026405222</v>
      </c>
      <c r="Q11">
        <f t="shared" si="5"/>
        <v>0.8858411430589973</v>
      </c>
      <c r="R11">
        <f t="shared" si="6"/>
        <v>0.91189682912955938</v>
      </c>
      <c r="S11">
        <f t="shared" si="7"/>
        <v>0.77087651673142199</v>
      </c>
      <c r="T11">
        <f t="shared" si="8"/>
        <v>0.90719615204962145</v>
      </c>
      <c r="U11">
        <f t="shared" si="9"/>
        <v>0.80495642556097191</v>
      </c>
      <c r="X11">
        <f>M11-N11</f>
        <v>6.9936853879626337E-2</v>
      </c>
      <c r="Y11">
        <f t="shared" si="11"/>
        <v>0.22594849317734145</v>
      </c>
      <c r="Z11">
        <f t="shared" si="12"/>
        <v>1.5619162895987193E-2</v>
      </c>
      <c r="AA11">
        <f t="shared" si="13"/>
        <v>3.1358230101042106E-2</v>
      </c>
      <c r="AB11">
        <f t="shared" si="14"/>
        <v>5.3025440304800275E-3</v>
      </c>
      <c r="AC11">
        <f t="shared" si="15"/>
        <v>0.14632285642861742</v>
      </c>
      <c r="AD11">
        <f t="shared" si="16"/>
        <v>1.0003221110417959E-2</v>
      </c>
      <c r="AE11">
        <f t="shared" si="17"/>
        <v>0.1122429475990675</v>
      </c>
      <c r="AI11">
        <f t="shared" si="18"/>
        <v>0.13987370775925245</v>
      </c>
      <c r="AJ11">
        <f t="shared" si="19"/>
        <v>0.45189698635468289</v>
      </c>
      <c r="AK11">
        <f t="shared" si="20"/>
        <v>3.1238325791974386E-2</v>
      </c>
      <c r="AL11">
        <f t="shared" si="21"/>
        <v>6.2716460202084101E-2</v>
      </c>
      <c r="AM11">
        <f t="shared" si="22"/>
        <v>1.0605088060959944E-2</v>
      </c>
      <c r="AN11">
        <f t="shared" si="23"/>
        <v>0.29264571285723462</v>
      </c>
      <c r="AO11">
        <f t="shared" si="24"/>
        <v>2.0006442220835696E-2</v>
      </c>
      <c r="AP11">
        <f t="shared" si="25"/>
        <v>0.22448589519813489</v>
      </c>
    </row>
    <row r="12" spans="1:42" x14ac:dyDescent="0.25">
      <c r="A12">
        <v>0.1578</v>
      </c>
      <c r="B12">
        <v>0.80813953488372103</v>
      </c>
      <c r="C12">
        <v>0.70551138565911053</v>
      </c>
      <c r="D12">
        <v>0.36577688836162919</v>
      </c>
      <c r="E12">
        <v>0.81660800162914515</v>
      </c>
      <c r="F12">
        <v>0.77832768473427372</v>
      </c>
      <c r="G12">
        <v>0.83485513969661407</v>
      </c>
      <c r="H12">
        <v>0.54559547157637878</v>
      </c>
      <c r="I12">
        <v>0.83015173045888679</v>
      </c>
      <c r="J12">
        <v>0.61614661014228989</v>
      </c>
      <c r="M12">
        <f t="shared" si="1"/>
        <v>0.90406976744186052</v>
      </c>
      <c r="N12">
        <f t="shared" si="2"/>
        <v>0.85275569282955521</v>
      </c>
      <c r="O12">
        <f t="shared" si="3"/>
        <v>0.68288844418081462</v>
      </c>
      <c r="P12">
        <f t="shared" si="4"/>
        <v>0.90830400081457263</v>
      </c>
      <c r="Q12">
        <f t="shared" si="5"/>
        <v>0.88916384236713686</v>
      </c>
      <c r="R12">
        <f t="shared" si="6"/>
        <v>0.91742756984830698</v>
      </c>
      <c r="S12">
        <f t="shared" si="7"/>
        <v>0.77279773578818944</v>
      </c>
      <c r="T12">
        <f t="shared" si="8"/>
        <v>0.9150758652294434</v>
      </c>
      <c r="U12">
        <f t="shared" si="9"/>
        <v>0.80807330507114494</v>
      </c>
      <c r="X12">
        <f t="shared" si="10"/>
        <v>5.1314074612305305E-2</v>
      </c>
      <c r="Y12">
        <f t="shared" si="11"/>
        <v>0.22118132326104589</v>
      </c>
      <c r="Z12">
        <f t="shared" si="12"/>
        <v>-4.2342333727121151E-3</v>
      </c>
      <c r="AA12">
        <f t="shared" si="13"/>
        <v>1.4905925074723658E-2</v>
      </c>
      <c r="AB12">
        <f t="shared" si="14"/>
        <v>-1.3357802406446462E-2</v>
      </c>
      <c r="AC12">
        <f t="shared" si="15"/>
        <v>0.13127203165367107</v>
      </c>
      <c r="AD12">
        <f t="shared" si="16"/>
        <v>-1.100609778758288E-2</v>
      </c>
      <c r="AE12">
        <f t="shared" si="17"/>
        <v>9.5996462370715574E-2</v>
      </c>
      <c r="AF12">
        <f>COUNT(X3:X12)</f>
        <v>10</v>
      </c>
      <c r="AI12">
        <f t="shared" si="18"/>
        <v>0.1026281492246105</v>
      </c>
      <c r="AJ12">
        <f t="shared" si="19"/>
        <v>0.44236264652209184</v>
      </c>
      <c r="AK12">
        <f t="shared" si="20"/>
        <v>-8.4684667454241191E-3</v>
      </c>
      <c r="AL12">
        <f t="shared" si="21"/>
        <v>2.9811850149447316E-2</v>
      </c>
      <c r="AM12">
        <f t="shared" si="22"/>
        <v>-2.6715604812893035E-2</v>
      </c>
      <c r="AN12">
        <f t="shared" si="23"/>
        <v>0.26254406330734226</v>
      </c>
      <c r="AO12">
        <f t="shared" si="24"/>
        <v>-2.2012195575165761E-2</v>
      </c>
      <c r="AP12">
        <f t="shared" si="25"/>
        <v>0.19199292474143115</v>
      </c>
    </row>
    <row r="13" spans="1:42" s="10" customFormat="1" x14ac:dyDescent="0.25">
      <c r="A13" s="10" t="s">
        <v>56</v>
      </c>
      <c r="M13" s="10">
        <f>AVERAGE(M3:M12)</f>
        <v>0.92202323823225041</v>
      </c>
      <c r="N13" s="10">
        <f>AVERAGE(N3:N12)</f>
        <v>0.85906324855375082</v>
      </c>
      <c r="O13" s="10">
        <f t="shared" ref="O13:U13" si="26">AVERAGE(O3:O12)</f>
        <v>0.70418869206572821</v>
      </c>
      <c r="P13" s="10">
        <f t="shared" si="26"/>
        <v>0.90816301953338152</v>
      </c>
      <c r="Q13" s="10">
        <f t="shared" si="26"/>
        <v>0.89377567832876426</v>
      </c>
      <c r="R13" s="10">
        <f t="shared" si="26"/>
        <v>0.91281557047171424</v>
      </c>
      <c r="S13" s="10">
        <f t="shared" si="26"/>
        <v>0.78636243161935238</v>
      </c>
      <c r="T13" s="10">
        <f t="shared" si="26"/>
        <v>0.92023961738888382</v>
      </c>
      <c r="U13" s="10">
        <f t="shared" si="26"/>
        <v>0.81682956427526765</v>
      </c>
      <c r="X13" s="10">
        <f>((M13-N13)/N13)*100</f>
        <v>7.328912019515899</v>
      </c>
      <c r="Y13" s="10">
        <f>((M13-O13)/O13)*100</f>
        <v>30.934115901166699</v>
      </c>
      <c r="Z13" s="10">
        <f>((M13-P13)/P13)*100</f>
        <v>1.5261817978439964</v>
      </c>
      <c r="AA13" s="10">
        <f>((M13-Q13)/Q13)*100</f>
        <v>3.1604753394392144</v>
      </c>
      <c r="AB13" s="10">
        <f>((M13-R13)/R13)*100</f>
        <v>1.0087106375472905</v>
      </c>
      <c r="AC13" s="10">
        <f>((M13-S13)/S13)*100</f>
        <v>17.251689699052942</v>
      </c>
      <c r="AD13" s="10">
        <f>((M13-T13)/T13)*100</f>
        <v>0.19382134931633188</v>
      </c>
      <c r="AE13" s="10">
        <f>((M13-U13)/U13)*100</f>
        <v>12.878289248787889</v>
      </c>
      <c r="AI13" s="10">
        <f t="shared" si="18"/>
        <v>0</v>
      </c>
      <c r="AJ13" s="10">
        <f t="shared" si="19"/>
        <v>0</v>
      </c>
      <c r="AK13" s="10">
        <f t="shared" si="20"/>
        <v>0</v>
      </c>
      <c r="AL13" s="10">
        <f t="shared" si="21"/>
        <v>0</v>
      </c>
      <c r="AM13" s="10">
        <f t="shared" si="22"/>
        <v>0</v>
      </c>
      <c r="AN13" s="10">
        <f t="shared" si="23"/>
        <v>0</v>
      </c>
      <c r="AO13" s="10">
        <f t="shared" si="24"/>
        <v>0</v>
      </c>
      <c r="AP13" s="10">
        <f t="shared" si="25"/>
        <v>0</v>
      </c>
    </row>
    <row r="14" spans="1:42" x14ac:dyDescent="0.25">
      <c r="A14">
        <v>6.7400000000000002E-2</v>
      </c>
      <c r="B14">
        <v>0.74371387463722427</v>
      </c>
      <c r="C14">
        <v>0.73976023976023964</v>
      </c>
      <c r="D14">
        <v>0.52234778219581224</v>
      </c>
      <c r="E14">
        <v>0.69596749415614934</v>
      </c>
      <c r="F14">
        <v>0.80211591642975344</v>
      </c>
      <c r="G14">
        <v>0.62056922361954603</v>
      </c>
      <c r="H14">
        <v>0.68047936588370161</v>
      </c>
      <c r="I14">
        <v>0.75736404845603478</v>
      </c>
      <c r="J14">
        <v>0.70479520479520474</v>
      </c>
      <c r="M14">
        <f t="shared" si="1"/>
        <v>0.87185693731861214</v>
      </c>
      <c r="N14">
        <f t="shared" si="2"/>
        <v>0.86988011988011982</v>
      </c>
      <c r="O14">
        <f t="shared" si="3"/>
        <v>0.76117389109790612</v>
      </c>
      <c r="P14">
        <f t="shared" si="4"/>
        <v>0.84798374707807467</v>
      </c>
      <c r="Q14">
        <f t="shared" si="5"/>
        <v>0.90105795821487678</v>
      </c>
      <c r="R14">
        <f t="shared" si="6"/>
        <v>0.81028461180977307</v>
      </c>
      <c r="S14">
        <f t="shared" si="7"/>
        <v>0.84023968294185081</v>
      </c>
      <c r="T14">
        <f t="shared" si="8"/>
        <v>0.87868202422801733</v>
      </c>
      <c r="U14">
        <f t="shared" si="9"/>
        <v>0.85239760239760232</v>
      </c>
      <c r="X14">
        <f t="shared" si="10"/>
        <v>1.9768174384923176E-3</v>
      </c>
      <c r="Y14">
        <f t="shared" si="11"/>
        <v>0.11068304622070602</v>
      </c>
      <c r="Z14">
        <f t="shared" si="12"/>
        <v>2.3873190240537467E-2</v>
      </c>
      <c r="AA14">
        <f t="shared" si="13"/>
        <v>-2.920102089626464E-2</v>
      </c>
      <c r="AB14">
        <f t="shared" si="14"/>
        <v>6.1572325508839065E-2</v>
      </c>
      <c r="AC14">
        <f t="shared" si="15"/>
        <v>3.1617254376761328E-2</v>
      </c>
      <c r="AD14">
        <f t="shared" si="16"/>
        <v>-6.825086909405198E-3</v>
      </c>
      <c r="AE14">
        <f t="shared" si="17"/>
        <v>1.9459334921009819E-2</v>
      </c>
      <c r="AI14">
        <f t="shared" si="18"/>
        <v>3.9536348769846352E-3</v>
      </c>
      <c r="AJ14">
        <f t="shared" si="19"/>
        <v>0.22136609244141203</v>
      </c>
      <c r="AK14">
        <f t="shared" si="20"/>
        <v>4.7746380481074935E-2</v>
      </c>
      <c r="AL14">
        <f t="shared" si="21"/>
        <v>-5.8402041792529169E-2</v>
      </c>
      <c r="AM14">
        <f t="shared" si="22"/>
        <v>0.12314465101767824</v>
      </c>
      <c r="AN14">
        <f t="shared" si="23"/>
        <v>6.3234508753522656E-2</v>
      </c>
      <c r="AO14">
        <f t="shared" si="24"/>
        <v>-1.3650173818810507E-2</v>
      </c>
      <c r="AP14">
        <f t="shared" si="25"/>
        <v>3.8918669842019527E-2</v>
      </c>
    </row>
    <row r="15" spans="1:42" x14ac:dyDescent="0.25">
      <c r="A15">
        <v>8.2400000000000001E-2</v>
      </c>
      <c r="B15">
        <v>0.80855335859315713</v>
      </c>
      <c r="C15">
        <v>0.71553337587286026</v>
      </c>
      <c r="D15">
        <v>0.46986628476765502</v>
      </c>
      <c r="E15">
        <v>0.70477925872769898</v>
      </c>
      <c r="F15">
        <v>0.79181460511741153</v>
      </c>
      <c r="G15">
        <v>0.67331225947805873</v>
      </c>
      <c r="H15">
        <v>0.64540294302300971</v>
      </c>
      <c r="I15">
        <v>0.79691066092184748</v>
      </c>
      <c r="J15">
        <v>0.67165397721306119</v>
      </c>
      <c r="M15">
        <f t="shared" si="1"/>
        <v>0.90427667929657862</v>
      </c>
      <c r="N15">
        <f t="shared" si="2"/>
        <v>0.85776668793643007</v>
      </c>
      <c r="O15">
        <f t="shared" si="3"/>
        <v>0.73493314238382745</v>
      </c>
      <c r="P15">
        <f t="shared" si="4"/>
        <v>0.85238962936384954</v>
      </c>
      <c r="Q15">
        <f t="shared" si="5"/>
        <v>0.89590730255870576</v>
      </c>
      <c r="R15">
        <f t="shared" si="6"/>
        <v>0.83665612973902936</v>
      </c>
      <c r="S15">
        <f t="shared" si="7"/>
        <v>0.82270147151150486</v>
      </c>
      <c r="T15">
        <f t="shared" si="8"/>
        <v>0.89845533046092374</v>
      </c>
      <c r="U15">
        <f t="shared" si="9"/>
        <v>0.8358269886065306</v>
      </c>
      <c r="X15">
        <f t="shared" si="10"/>
        <v>4.650999136014855E-2</v>
      </c>
      <c r="Y15">
        <f t="shared" si="11"/>
        <v>0.16934353691275117</v>
      </c>
      <c r="Z15">
        <f t="shared" si="12"/>
        <v>5.1887049932729079E-2</v>
      </c>
      <c r="AA15">
        <f t="shared" si="13"/>
        <v>8.3693767378728579E-3</v>
      </c>
      <c r="AB15">
        <f t="shared" si="14"/>
        <v>6.7620549557549259E-2</v>
      </c>
      <c r="AC15">
        <f t="shared" si="15"/>
        <v>8.1575207785073767E-2</v>
      </c>
      <c r="AD15">
        <f t="shared" si="16"/>
        <v>5.8213488356548826E-3</v>
      </c>
      <c r="AE15">
        <f t="shared" si="17"/>
        <v>6.8449690690048026E-2</v>
      </c>
      <c r="AI15">
        <f t="shared" si="18"/>
        <v>9.3019982720296879E-2</v>
      </c>
      <c r="AJ15">
        <f t="shared" si="19"/>
        <v>0.33868707382550212</v>
      </c>
      <c r="AK15">
        <f t="shared" si="20"/>
        <v>0.10377409986545816</v>
      </c>
      <c r="AL15">
        <f t="shared" si="21"/>
        <v>1.6738753475745605E-2</v>
      </c>
      <c r="AM15">
        <f t="shared" si="22"/>
        <v>0.13524109911509841</v>
      </c>
      <c r="AN15">
        <f t="shared" si="23"/>
        <v>0.16315041557014742</v>
      </c>
      <c r="AO15">
        <f t="shared" si="24"/>
        <v>1.1642697671309654E-2</v>
      </c>
      <c r="AP15">
        <f t="shared" si="25"/>
        <v>0.13689938138009594</v>
      </c>
    </row>
    <row r="16" spans="1:42" x14ac:dyDescent="0.25">
      <c r="A16">
        <v>9.74E-2</v>
      </c>
      <c r="B16">
        <v>0.81194120287553473</v>
      </c>
      <c r="C16">
        <v>0.72886063172288895</v>
      </c>
      <c r="D16">
        <v>0.47354009880362657</v>
      </c>
      <c r="E16">
        <v>0.73572275734767567</v>
      </c>
      <c r="F16">
        <v>0.79535271997892687</v>
      </c>
      <c r="G16">
        <v>0.69359281429870523</v>
      </c>
      <c r="H16">
        <v>0.65469975929130131</v>
      </c>
      <c r="I16">
        <v>0.82024455752794401</v>
      </c>
      <c r="J16">
        <v>0.68695488698317453</v>
      </c>
      <c r="M16">
        <f t="shared" si="1"/>
        <v>0.90597060143776731</v>
      </c>
      <c r="N16">
        <f t="shared" si="2"/>
        <v>0.86443031586144448</v>
      </c>
      <c r="O16">
        <f t="shared" si="3"/>
        <v>0.73677004940181323</v>
      </c>
      <c r="P16">
        <f t="shared" si="4"/>
        <v>0.86786137867383784</v>
      </c>
      <c r="Q16">
        <f t="shared" si="5"/>
        <v>0.89767635998946349</v>
      </c>
      <c r="R16">
        <f t="shared" si="6"/>
        <v>0.84679640714935256</v>
      </c>
      <c r="S16">
        <f t="shared" si="7"/>
        <v>0.82734987964565065</v>
      </c>
      <c r="T16">
        <f t="shared" si="8"/>
        <v>0.910122278763972</v>
      </c>
      <c r="U16">
        <f t="shared" si="9"/>
        <v>0.84347744349158726</v>
      </c>
      <c r="X16">
        <f t="shared" si="10"/>
        <v>4.1540285576322833E-2</v>
      </c>
      <c r="Y16">
        <f t="shared" si="11"/>
        <v>0.16920055203595408</v>
      </c>
      <c r="Z16">
        <f t="shared" si="12"/>
        <v>3.8109222763929473E-2</v>
      </c>
      <c r="AA16">
        <f t="shared" si="13"/>
        <v>8.2942414483038185E-3</v>
      </c>
      <c r="AB16">
        <f t="shared" si="14"/>
        <v>5.917419428841475E-2</v>
      </c>
      <c r="AC16">
        <f t="shared" si="15"/>
        <v>7.8620721792116655E-2</v>
      </c>
      <c r="AD16">
        <f t="shared" si="16"/>
        <v>-4.1516773262046947E-3</v>
      </c>
      <c r="AE16">
        <f t="shared" si="17"/>
        <v>6.2493157946180045E-2</v>
      </c>
      <c r="AI16">
        <f t="shared" si="18"/>
        <v>8.3080571152645777E-2</v>
      </c>
      <c r="AJ16">
        <f t="shared" si="19"/>
        <v>0.33840110407190815</v>
      </c>
      <c r="AK16">
        <f t="shared" si="20"/>
        <v>7.6218445527859058E-2</v>
      </c>
      <c r="AL16">
        <f t="shared" si="21"/>
        <v>1.6588482896607859E-2</v>
      </c>
      <c r="AM16">
        <f t="shared" si="22"/>
        <v>0.1183483885768295</v>
      </c>
      <c r="AN16">
        <f t="shared" si="23"/>
        <v>0.15724144358423342</v>
      </c>
      <c r="AO16">
        <f t="shared" si="24"/>
        <v>-8.3033546524092783E-3</v>
      </c>
      <c r="AP16">
        <f t="shared" si="25"/>
        <v>0.1249863158923602</v>
      </c>
    </row>
    <row r="17" spans="1:42" x14ac:dyDescent="0.25">
      <c r="A17">
        <v>0.1123</v>
      </c>
      <c r="B17">
        <v>0.87034277198211618</v>
      </c>
      <c r="C17">
        <v>0.6973874243081809</v>
      </c>
      <c r="D17">
        <v>0.4499363262319227</v>
      </c>
      <c r="E17">
        <v>0.74664389472348192</v>
      </c>
      <c r="F17">
        <v>0.76486919564554157</v>
      </c>
      <c r="G17">
        <v>0.72989976573781057</v>
      </c>
      <c r="H17">
        <v>0.61837347138223786</v>
      </c>
      <c r="I17">
        <v>0.84142606009338328</v>
      </c>
      <c r="J17">
        <v>0.65753671434771332</v>
      </c>
      <c r="M17">
        <f t="shared" si="1"/>
        <v>0.93517138599105809</v>
      </c>
      <c r="N17">
        <f t="shared" si="2"/>
        <v>0.84869371215409051</v>
      </c>
      <c r="O17">
        <f t="shared" si="3"/>
        <v>0.72496816311596135</v>
      </c>
      <c r="P17">
        <f t="shared" si="4"/>
        <v>0.87332194736174096</v>
      </c>
      <c r="Q17">
        <f t="shared" si="5"/>
        <v>0.88243459782277078</v>
      </c>
      <c r="R17">
        <f t="shared" si="6"/>
        <v>0.86494988286890528</v>
      </c>
      <c r="S17">
        <f t="shared" si="7"/>
        <v>0.80918673569111887</v>
      </c>
      <c r="T17">
        <f t="shared" si="8"/>
        <v>0.92071303004669169</v>
      </c>
      <c r="U17">
        <f t="shared" si="9"/>
        <v>0.82876835717385666</v>
      </c>
      <c r="X17">
        <f t="shared" si="10"/>
        <v>8.6477673836967583E-2</v>
      </c>
      <c r="Y17">
        <f t="shared" si="11"/>
        <v>0.21020322287509674</v>
      </c>
      <c r="Z17">
        <f t="shared" si="12"/>
        <v>6.1849438629317133E-2</v>
      </c>
      <c r="AA17">
        <f t="shared" si="13"/>
        <v>5.2736788168287307E-2</v>
      </c>
      <c r="AB17">
        <f t="shared" si="14"/>
        <v>7.0221503122152806E-2</v>
      </c>
      <c r="AC17">
        <f t="shared" si="15"/>
        <v>0.12598465029993922</v>
      </c>
      <c r="AD17">
        <f t="shared" si="16"/>
        <v>1.4458355944366397E-2</v>
      </c>
      <c r="AE17">
        <f t="shared" si="17"/>
        <v>0.10640302881720143</v>
      </c>
      <c r="AI17">
        <f t="shared" si="18"/>
        <v>0.17295534767393528</v>
      </c>
      <c r="AJ17">
        <f t="shared" si="19"/>
        <v>0.42040644575019348</v>
      </c>
      <c r="AK17">
        <f t="shared" si="20"/>
        <v>0.12369887725863427</v>
      </c>
      <c r="AL17">
        <f t="shared" si="21"/>
        <v>0.10547357633657461</v>
      </c>
      <c r="AM17">
        <f t="shared" si="22"/>
        <v>0.14044300624430561</v>
      </c>
      <c r="AN17">
        <f t="shared" si="23"/>
        <v>0.25196930059987832</v>
      </c>
      <c r="AO17">
        <f t="shared" si="24"/>
        <v>2.8916711888732904E-2</v>
      </c>
      <c r="AP17">
        <f t="shared" si="25"/>
        <v>0.21280605763440286</v>
      </c>
    </row>
    <row r="18" spans="1:42" x14ac:dyDescent="0.25">
      <c r="A18">
        <v>0.1273</v>
      </c>
      <c r="B18">
        <v>0.88425235966219573</v>
      </c>
      <c r="C18">
        <v>0.67397513220640615</v>
      </c>
      <c r="D18">
        <v>0.4316183078611574</v>
      </c>
      <c r="E18">
        <v>0.76417074671229612</v>
      </c>
      <c r="F18">
        <v>0.73661821304303865</v>
      </c>
      <c r="G18">
        <v>0.73438073292173978</v>
      </c>
      <c r="H18">
        <v>0.58700670109473307</v>
      </c>
      <c r="I18">
        <v>0.83296201096818345</v>
      </c>
      <c r="J18">
        <v>0.63412442224593879</v>
      </c>
      <c r="M18">
        <f t="shared" si="1"/>
        <v>0.94212617983109781</v>
      </c>
      <c r="N18">
        <f t="shared" si="2"/>
        <v>0.83698756610320313</v>
      </c>
      <c r="O18">
        <f t="shared" si="3"/>
        <v>0.71580915393057865</v>
      </c>
      <c r="P18">
        <f t="shared" si="4"/>
        <v>0.88208537335614801</v>
      </c>
      <c r="Q18">
        <f t="shared" si="5"/>
        <v>0.86830910652151938</v>
      </c>
      <c r="R18">
        <f t="shared" si="6"/>
        <v>0.86719036646086989</v>
      </c>
      <c r="S18">
        <f t="shared" si="7"/>
        <v>0.79350335054736654</v>
      </c>
      <c r="T18">
        <f t="shared" si="8"/>
        <v>0.91648100548409173</v>
      </c>
      <c r="U18">
        <f t="shared" si="9"/>
        <v>0.8170622111229694</v>
      </c>
      <c r="X18">
        <f t="shared" si="10"/>
        <v>0.10513861372789468</v>
      </c>
      <c r="Y18">
        <f t="shared" si="11"/>
        <v>0.22631702590051916</v>
      </c>
      <c r="Z18">
        <f t="shared" si="12"/>
        <v>6.0040806474949804E-2</v>
      </c>
      <c r="AA18">
        <f t="shared" si="13"/>
        <v>7.3817073309578429E-2</v>
      </c>
      <c r="AB18">
        <f t="shared" si="14"/>
        <v>7.4935813370227922E-2</v>
      </c>
      <c r="AC18">
        <f t="shared" si="15"/>
        <v>0.14862282928373127</v>
      </c>
      <c r="AD18">
        <f t="shared" si="16"/>
        <v>2.5645174347006083E-2</v>
      </c>
      <c r="AE18">
        <f t="shared" si="17"/>
        <v>0.12506396870812841</v>
      </c>
      <c r="AI18">
        <f t="shared" si="18"/>
        <v>0.21027722745578958</v>
      </c>
      <c r="AJ18">
        <f t="shared" si="19"/>
        <v>0.45263405180103833</v>
      </c>
      <c r="AK18">
        <f t="shared" si="20"/>
        <v>0.12008161294989961</v>
      </c>
      <c r="AL18">
        <f t="shared" si="21"/>
        <v>0.14763414661915708</v>
      </c>
      <c r="AM18">
        <f t="shared" si="22"/>
        <v>0.14987162674045595</v>
      </c>
      <c r="AN18">
        <f t="shared" si="23"/>
        <v>0.29724565856746266</v>
      </c>
      <c r="AO18">
        <f t="shared" si="24"/>
        <v>5.1290348694012278E-2</v>
      </c>
      <c r="AP18">
        <f t="shared" si="25"/>
        <v>0.25012793741625694</v>
      </c>
    </row>
    <row r="19" spans="1:42" x14ac:dyDescent="0.25">
      <c r="A19">
        <v>0.14230000000000001</v>
      </c>
      <c r="B19">
        <v>0.89490685991765362</v>
      </c>
      <c r="C19">
        <v>0.65072449070722693</v>
      </c>
      <c r="D19">
        <v>0.394507835241871</v>
      </c>
      <c r="E19">
        <v>0.73631069514527392</v>
      </c>
      <c r="F19">
        <v>0.70958983684652033</v>
      </c>
      <c r="G19">
        <v>0.74103732686398238</v>
      </c>
      <c r="H19">
        <v>0.55976206679779317</v>
      </c>
      <c r="I19">
        <v>0.81275061656049674</v>
      </c>
      <c r="J19">
        <v>0.61285690931844494</v>
      </c>
      <c r="M19">
        <f t="shared" si="1"/>
        <v>0.94745342995882686</v>
      </c>
      <c r="N19">
        <f t="shared" si="2"/>
        <v>0.82536224535361347</v>
      </c>
      <c r="O19">
        <f t="shared" si="3"/>
        <v>0.69725391762093547</v>
      </c>
      <c r="P19">
        <f t="shared" si="4"/>
        <v>0.8681553475726369</v>
      </c>
      <c r="Q19">
        <f t="shared" si="5"/>
        <v>0.85479491842326016</v>
      </c>
      <c r="R19">
        <f t="shared" si="6"/>
        <v>0.87051866343199125</v>
      </c>
      <c r="S19">
        <f t="shared" si="7"/>
        <v>0.77988103339889658</v>
      </c>
      <c r="T19">
        <f t="shared" si="8"/>
        <v>0.90637530828024837</v>
      </c>
      <c r="U19">
        <f t="shared" si="9"/>
        <v>0.80642845465922242</v>
      </c>
      <c r="X19">
        <f t="shared" si="10"/>
        <v>0.1220911846052134</v>
      </c>
      <c r="Y19">
        <f t="shared" si="11"/>
        <v>0.25019951233789139</v>
      </c>
      <c r="Z19">
        <f t="shared" si="12"/>
        <v>7.9298082386189961E-2</v>
      </c>
      <c r="AA19">
        <f t="shared" si="13"/>
        <v>9.2658511535566701E-2</v>
      </c>
      <c r="AB19">
        <f t="shared" si="14"/>
        <v>7.6934766526835618E-2</v>
      </c>
      <c r="AC19">
        <f t="shared" si="15"/>
        <v>0.16757239655993028</v>
      </c>
      <c r="AD19">
        <f t="shared" si="16"/>
        <v>4.1078121678578494E-2</v>
      </c>
      <c r="AE19">
        <f t="shared" si="17"/>
        <v>0.14102497529960445</v>
      </c>
      <c r="AI19">
        <f t="shared" si="18"/>
        <v>0.24418236921042669</v>
      </c>
      <c r="AJ19">
        <f t="shared" si="19"/>
        <v>0.50039902467578257</v>
      </c>
      <c r="AK19">
        <f t="shared" si="20"/>
        <v>0.1585961647723797</v>
      </c>
      <c r="AL19">
        <f t="shared" si="21"/>
        <v>0.18531702307113329</v>
      </c>
      <c r="AM19">
        <f t="shared" si="22"/>
        <v>0.15386953305367124</v>
      </c>
      <c r="AN19">
        <f t="shared" si="23"/>
        <v>0.33514479311986045</v>
      </c>
      <c r="AO19">
        <f t="shared" si="24"/>
        <v>8.2156243357156877E-2</v>
      </c>
      <c r="AP19">
        <f t="shared" si="25"/>
        <v>0.28204995059920868</v>
      </c>
    </row>
    <row r="20" spans="1:42" x14ac:dyDescent="0.25">
      <c r="A20">
        <v>0.1573</v>
      </c>
      <c r="B20">
        <v>0.86608698325178801</v>
      </c>
      <c r="C20">
        <v>0.66467570490309402</v>
      </c>
      <c r="D20">
        <v>0.40538686117742329</v>
      </c>
      <c r="E20">
        <v>0.76185616824215074</v>
      </c>
      <c r="F20">
        <v>0.72895180142124094</v>
      </c>
      <c r="G20">
        <v>0.76195370302546572</v>
      </c>
      <c r="H20">
        <v>0.56972224592230902</v>
      </c>
      <c r="I20">
        <v>0.84661522558385083</v>
      </c>
      <c r="J20">
        <v>0.62282206231549286</v>
      </c>
      <c r="M20">
        <f t="shared" si="1"/>
        <v>0.93304349162589406</v>
      </c>
      <c r="N20">
        <f t="shared" si="2"/>
        <v>0.83233785245154701</v>
      </c>
      <c r="O20">
        <f t="shared" si="3"/>
        <v>0.70269343058871159</v>
      </c>
      <c r="P20">
        <f t="shared" si="4"/>
        <v>0.88092808412107537</v>
      </c>
      <c r="Q20">
        <f t="shared" si="5"/>
        <v>0.86447590071062042</v>
      </c>
      <c r="R20">
        <f t="shared" si="6"/>
        <v>0.88097685151273286</v>
      </c>
      <c r="S20">
        <f t="shared" si="7"/>
        <v>0.78486112296115451</v>
      </c>
      <c r="T20">
        <f t="shared" si="8"/>
        <v>0.92330761279192541</v>
      </c>
      <c r="U20">
        <f t="shared" si="9"/>
        <v>0.81141103115774649</v>
      </c>
      <c r="X20">
        <f t="shared" si="10"/>
        <v>0.10070563917434705</v>
      </c>
      <c r="Y20">
        <f t="shared" si="11"/>
        <v>0.23035006103718247</v>
      </c>
      <c r="Z20">
        <f t="shared" si="12"/>
        <v>5.2115407504818689E-2</v>
      </c>
      <c r="AA20">
        <f t="shared" si="13"/>
        <v>6.8567590915273646E-2</v>
      </c>
      <c r="AB20">
        <f t="shared" si="14"/>
        <v>5.20666401131612E-2</v>
      </c>
      <c r="AC20">
        <f t="shared" si="15"/>
        <v>0.14818236866473955</v>
      </c>
      <c r="AD20">
        <f t="shared" si="16"/>
        <v>9.7358788339686475E-3</v>
      </c>
      <c r="AE20">
        <f t="shared" si="17"/>
        <v>0.12163246046814757</v>
      </c>
      <c r="AI20">
        <f t="shared" si="18"/>
        <v>0.20141127834869399</v>
      </c>
      <c r="AJ20">
        <f t="shared" si="19"/>
        <v>0.46070012207436473</v>
      </c>
      <c r="AK20">
        <f t="shared" si="20"/>
        <v>0.10423081500963727</v>
      </c>
      <c r="AL20">
        <f t="shared" si="21"/>
        <v>0.13713518183054707</v>
      </c>
      <c r="AM20">
        <f t="shared" si="22"/>
        <v>0.10413328022632229</v>
      </c>
      <c r="AN20">
        <f t="shared" si="23"/>
        <v>0.29636473732947899</v>
      </c>
      <c r="AO20">
        <f t="shared" si="24"/>
        <v>1.9471757667937184E-2</v>
      </c>
      <c r="AP20">
        <f t="shared" si="25"/>
        <v>0.24326492093629515</v>
      </c>
    </row>
    <row r="21" spans="1:42" x14ac:dyDescent="0.25">
      <c r="A21">
        <v>0.17230000000000001</v>
      </c>
      <c r="B21">
        <v>0.84322983968920495</v>
      </c>
      <c r="C21">
        <v>0.64972797540752214</v>
      </c>
      <c r="D21">
        <v>0.39336267461707602</v>
      </c>
      <c r="E21">
        <v>0.74682941936163494</v>
      </c>
      <c r="F21">
        <v>0.71691598560452263</v>
      </c>
      <c r="G21">
        <v>0.74800945225114346</v>
      </c>
      <c r="H21">
        <v>0.57171428174721217</v>
      </c>
      <c r="I21">
        <v>0.8187267240352063</v>
      </c>
      <c r="J21">
        <v>0.60986736341933068</v>
      </c>
      <c r="M21">
        <f t="shared" si="1"/>
        <v>0.92161491984460242</v>
      </c>
      <c r="N21">
        <f t="shared" si="2"/>
        <v>0.82486398770376113</v>
      </c>
      <c r="O21">
        <f t="shared" si="3"/>
        <v>0.69668133730853798</v>
      </c>
      <c r="P21">
        <f t="shared" si="4"/>
        <v>0.87341470968081747</v>
      </c>
      <c r="Q21">
        <f t="shared" si="5"/>
        <v>0.85845799280226132</v>
      </c>
      <c r="R21">
        <f t="shared" si="6"/>
        <v>0.87400472612557167</v>
      </c>
      <c r="S21">
        <f t="shared" si="7"/>
        <v>0.78585714087360614</v>
      </c>
      <c r="T21">
        <f t="shared" si="8"/>
        <v>0.90936336201760315</v>
      </c>
      <c r="U21">
        <f t="shared" si="9"/>
        <v>0.80493368170966528</v>
      </c>
      <c r="X21">
        <f t="shared" si="10"/>
        <v>9.6750932140841295E-2</v>
      </c>
      <c r="Y21">
        <f t="shared" si="11"/>
        <v>0.22493358253606444</v>
      </c>
      <c r="Z21">
        <f t="shared" si="12"/>
        <v>4.8200210163784951E-2</v>
      </c>
      <c r="AA21">
        <f t="shared" si="13"/>
        <v>6.3156927042341104E-2</v>
      </c>
      <c r="AB21">
        <f t="shared" si="14"/>
        <v>4.7610193719030747E-2</v>
      </c>
      <c r="AC21">
        <f t="shared" si="15"/>
        <v>0.13575777897099628</v>
      </c>
      <c r="AD21">
        <f t="shared" si="16"/>
        <v>1.2251557826999271E-2</v>
      </c>
      <c r="AE21">
        <f t="shared" si="17"/>
        <v>0.11668123813493714</v>
      </c>
      <c r="AI21">
        <f t="shared" si="18"/>
        <v>0.19350186428168281</v>
      </c>
      <c r="AJ21">
        <f t="shared" si="19"/>
        <v>0.44986716507212893</v>
      </c>
      <c r="AK21">
        <f t="shared" si="20"/>
        <v>9.6400420327570013E-2</v>
      </c>
      <c r="AL21">
        <f t="shared" si="21"/>
        <v>0.12631385408468232</v>
      </c>
      <c r="AM21">
        <f t="shared" si="22"/>
        <v>9.5220387438061493E-2</v>
      </c>
      <c r="AN21">
        <f t="shared" si="23"/>
        <v>0.27151555794199278</v>
      </c>
      <c r="AO21">
        <f t="shared" si="24"/>
        <v>2.4503115653998653E-2</v>
      </c>
      <c r="AP21">
        <f t="shared" si="25"/>
        <v>0.23336247626987427</v>
      </c>
    </row>
    <row r="22" spans="1:42" x14ac:dyDescent="0.25">
      <c r="A22">
        <v>0.18720000000000001</v>
      </c>
      <c r="B22">
        <v>0.85203585478067467</v>
      </c>
      <c r="C22">
        <v>0.6716490237929621</v>
      </c>
      <c r="D22">
        <v>0.39535835539199199</v>
      </c>
      <c r="E22">
        <v>0.77280074662476161</v>
      </c>
      <c r="F22">
        <v>0.71847372903468343</v>
      </c>
      <c r="G22">
        <v>0.76984612811575837</v>
      </c>
      <c r="H22">
        <v>0.55685702479737131</v>
      </c>
      <c r="I22">
        <v>0.85842570846779764</v>
      </c>
      <c r="J22">
        <v>0.62783500296732775</v>
      </c>
      <c r="M22">
        <f t="shared" si="1"/>
        <v>0.92601792739033728</v>
      </c>
      <c r="N22">
        <f t="shared" si="2"/>
        <v>0.8358245118964811</v>
      </c>
      <c r="O22">
        <f t="shared" si="3"/>
        <v>0.69767917769599597</v>
      </c>
      <c r="P22">
        <f t="shared" si="4"/>
        <v>0.88640037331238086</v>
      </c>
      <c r="Q22">
        <f t="shared" si="5"/>
        <v>0.85923686451734171</v>
      </c>
      <c r="R22">
        <f t="shared" si="6"/>
        <v>0.88492306405787913</v>
      </c>
      <c r="S22">
        <f t="shared" si="7"/>
        <v>0.7784285123986856</v>
      </c>
      <c r="T22">
        <f t="shared" si="8"/>
        <v>0.92921285423389888</v>
      </c>
      <c r="U22">
        <f t="shared" si="9"/>
        <v>0.81391750148366393</v>
      </c>
      <c r="X22">
        <f t="shared" si="10"/>
        <v>9.0193415493856177E-2</v>
      </c>
      <c r="Y22">
        <f t="shared" si="11"/>
        <v>0.22833874969434131</v>
      </c>
      <c r="Z22">
        <f t="shared" si="12"/>
        <v>3.9617554077956418E-2</v>
      </c>
      <c r="AA22">
        <f t="shared" si="13"/>
        <v>6.6781062872995567E-2</v>
      </c>
      <c r="AB22">
        <f t="shared" si="14"/>
        <v>4.1094863332458154E-2</v>
      </c>
      <c r="AC22">
        <f t="shared" si="15"/>
        <v>0.14758941499165168</v>
      </c>
      <c r="AD22">
        <f t="shared" si="16"/>
        <v>-3.1949268435615963E-3</v>
      </c>
      <c r="AE22">
        <f t="shared" si="17"/>
        <v>0.11210042590667335</v>
      </c>
      <c r="AI22">
        <f t="shared" si="18"/>
        <v>0.18038683098771258</v>
      </c>
      <c r="AJ22">
        <f t="shared" si="19"/>
        <v>0.45667749938868268</v>
      </c>
      <c r="AK22">
        <f t="shared" si="20"/>
        <v>7.9235108155913059E-2</v>
      </c>
      <c r="AL22">
        <f t="shared" si="21"/>
        <v>0.13356212574599124</v>
      </c>
      <c r="AM22">
        <f t="shared" si="22"/>
        <v>8.2189726664916307E-2</v>
      </c>
      <c r="AN22">
        <f t="shared" si="23"/>
        <v>0.29517882998330336</v>
      </c>
      <c r="AO22">
        <f t="shared" si="24"/>
        <v>-6.3898536871229705E-3</v>
      </c>
      <c r="AP22">
        <f t="shared" si="25"/>
        <v>0.22420085181334692</v>
      </c>
    </row>
    <row r="23" spans="1:42" x14ac:dyDescent="0.25">
      <c r="A23">
        <v>0.20219999999999999</v>
      </c>
      <c r="B23">
        <v>0.8242304888903963</v>
      </c>
      <c r="C23">
        <v>0.6407800545749015</v>
      </c>
      <c r="D23">
        <v>0.37762158402129481</v>
      </c>
      <c r="E23">
        <v>0.73976651781826264</v>
      </c>
      <c r="F23">
        <v>0.6991261832018717</v>
      </c>
      <c r="G23">
        <v>0.76785557574829666</v>
      </c>
      <c r="H23">
        <v>0.54690426296006356</v>
      </c>
      <c r="I23">
        <v>0.82657687058841278</v>
      </c>
      <c r="J23">
        <v>0.59895758015043243</v>
      </c>
      <c r="M23">
        <f t="shared" si="1"/>
        <v>0.91211524444519809</v>
      </c>
      <c r="N23">
        <f t="shared" si="2"/>
        <v>0.8203900272874507</v>
      </c>
      <c r="O23">
        <f t="shared" si="3"/>
        <v>0.68881079201064743</v>
      </c>
      <c r="P23">
        <f t="shared" si="4"/>
        <v>0.86988325890913132</v>
      </c>
      <c r="Q23">
        <f t="shared" si="5"/>
        <v>0.84956309160093579</v>
      </c>
      <c r="R23">
        <f t="shared" si="6"/>
        <v>0.88392778787414827</v>
      </c>
      <c r="S23">
        <f t="shared" si="7"/>
        <v>0.77345213148003178</v>
      </c>
      <c r="T23">
        <f t="shared" si="8"/>
        <v>0.91328843529420634</v>
      </c>
      <c r="U23">
        <f t="shared" si="9"/>
        <v>0.79947879007521627</v>
      </c>
      <c r="X23">
        <f t="shared" si="10"/>
        <v>9.1725217157747396E-2</v>
      </c>
      <c r="Y23">
        <f t="shared" si="11"/>
        <v>0.22330445243455066</v>
      </c>
      <c r="Z23">
        <f t="shared" si="12"/>
        <v>4.2231985536066774E-2</v>
      </c>
      <c r="AA23">
        <f t="shared" si="13"/>
        <v>6.2552152844262299E-2</v>
      </c>
      <c r="AB23">
        <f t="shared" si="14"/>
        <v>2.8187456571049818E-2</v>
      </c>
      <c r="AC23">
        <f t="shared" si="15"/>
        <v>0.13866311296516631</v>
      </c>
      <c r="AD23">
        <f t="shared" si="16"/>
        <v>-1.1731908490082432E-3</v>
      </c>
      <c r="AE23">
        <f t="shared" si="17"/>
        <v>0.11263645436998182</v>
      </c>
      <c r="AF23">
        <f>COUNT(X14:X23)</f>
        <v>10</v>
      </c>
      <c r="AI23">
        <f t="shared" si="18"/>
        <v>0.18345043431549479</v>
      </c>
      <c r="AJ23">
        <f t="shared" si="19"/>
        <v>0.44660890486910149</v>
      </c>
      <c r="AK23">
        <f t="shared" si="20"/>
        <v>8.4463971072133659E-2</v>
      </c>
      <c r="AL23">
        <f t="shared" si="21"/>
        <v>0.1251043056885246</v>
      </c>
      <c r="AM23">
        <f t="shared" si="22"/>
        <v>5.6374913142099636E-2</v>
      </c>
      <c r="AN23">
        <f t="shared" si="23"/>
        <v>0.27732622593033274</v>
      </c>
      <c r="AO23">
        <f t="shared" si="24"/>
        <v>-2.3463816980164864E-3</v>
      </c>
      <c r="AP23">
        <f t="shared" si="25"/>
        <v>0.22527290873996386</v>
      </c>
    </row>
    <row r="24" spans="1:42" s="10" customFormat="1" x14ac:dyDescent="0.25">
      <c r="A24" s="10" t="s">
        <v>31</v>
      </c>
      <c r="M24" s="10">
        <f>AVERAGE(M14:M23)</f>
        <v>0.91996467971399731</v>
      </c>
      <c r="N24" s="10">
        <f t="shared" ref="N24:U24" si="27">AVERAGE(N14:N23)</f>
        <v>0.84165370266281414</v>
      </c>
      <c r="O24" s="10">
        <f t="shared" si="27"/>
        <v>0.71567730551549147</v>
      </c>
      <c r="P24" s="10">
        <f t="shared" si="27"/>
        <v>0.87024238494296946</v>
      </c>
      <c r="Q24" s="10">
        <f t="shared" si="27"/>
        <v>0.87319140931617556</v>
      </c>
      <c r="R24" s="10">
        <f t="shared" si="27"/>
        <v>0.8620228491030254</v>
      </c>
      <c r="S24" s="10">
        <f t="shared" si="27"/>
        <v>0.79954610614498667</v>
      </c>
      <c r="T24" s="10">
        <f t="shared" si="27"/>
        <v>0.91060012416015768</v>
      </c>
      <c r="U24" s="10">
        <f t="shared" si="27"/>
        <v>0.8213702061878061</v>
      </c>
      <c r="X24" s="10">
        <f>((M24-N24)/N24)*100</f>
        <v>9.3044178150020382</v>
      </c>
      <c r="Y24" s="10">
        <f>((M24-O24)/O24)*100</f>
        <v>28.544620965919936</v>
      </c>
      <c r="Z24" s="10">
        <f>((M24-P24)/P24)*100</f>
        <v>5.7136144632034158</v>
      </c>
      <c r="AA24" s="10">
        <f>((M24-Q24)/Q24)*100</f>
        <v>5.35658847519485</v>
      </c>
      <c r="AB24" s="10">
        <f>((M24-R24)/R24)*100</f>
        <v>6.7216119237747662</v>
      </c>
      <c r="AC24" s="10">
        <f>((M24-S24)/S24)*100</f>
        <v>15.060866739706741</v>
      </c>
      <c r="AD24" s="10">
        <f>((M24-T24)/T24)*100</f>
        <v>1.0283938366993441</v>
      </c>
      <c r="AE24" s="10">
        <f>((M24-U24)/U24)*100</f>
        <v>12.003658372732309</v>
      </c>
      <c r="AI24" s="10">
        <f t="shared" si="18"/>
        <v>0</v>
      </c>
      <c r="AJ24" s="10">
        <f t="shared" si="19"/>
        <v>0</v>
      </c>
      <c r="AK24" s="10">
        <f t="shared" si="20"/>
        <v>0</v>
      </c>
      <c r="AL24" s="10">
        <f t="shared" si="21"/>
        <v>0</v>
      </c>
      <c r="AM24" s="10">
        <f t="shared" si="22"/>
        <v>0</v>
      </c>
      <c r="AN24" s="10">
        <f t="shared" si="23"/>
        <v>0</v>
      </c>
      <c r="AO24" s="10">
        <f t="shared" si="24"/>
        <v>0</v>
      </c>
      <c r="AP24" s="10">
        <f t="shared" si="25"/>
        <v>0</v>
      </c>
    </row>
    <row r="25" spans="1:42" x14ac:dyDescent="0.25">
      <c r="A25">
        <v>1.2800000000000001E-2</v>
      </c>
      <c r="B25">
        <v>0.57644744584572805</v>
      </c>
      <c r="C25">
        <v>0.52805677172452592</v>
      </c>
      <c r="D25">
        <v>0.42680937993627471</v>
      </c>
      <c r="E25">
        <v>0.46336569762924029</v>
      </c>
      <c r="F25">
        <v>0.55419804027045239</v>
      </c>
      <c r="G25">
        <v>0.53728436002748869</v>
      </c>
      <c r="H25">
        <v>0.44504232006715239</v>
      </c>
      <c r="I25">
        <v>0.52300485914093386</v>
      </c>
      <c r="J25">
        <v>0.51593854326239275</v>
      </c>
      <c r="M25">
        <f t="shared" si="1"/>
        <v>0.78822372292286402</v>
      </c>
      <c r="N25">
        <f t="shared" si="2"/>
        <v>0.76402838586226296</v>
      </c>
      <c r="O25">
        <f t="shared" si="3"/>
        <v>0.71340468996813733</v>
      </c>
      <c r="P25">
        <f t="shared" si="4"/>
        <v>0.73168284881462009</v>
      </c>
      <c r="Q25">
        <f t="shared" si="5"/>
        <v>0.77709902013522614</v>
      </c>
      <c r="R25">
        <f t="shared" si="6"/>
        <v>0.7686421800137444</v>
      </c>
      <c r="S25">
        <f t="shared" si="7"/>
        <v>0.72252116003357614</v>
      </c>
      <c r="T25">
        <f t="shared" si="8"/>
        <v>0.76150242957046688</v>
      </c>
      <c r="U25">
        <f t="shared" si="9"/>
        <v>0.75796927163119632</v>
      </c>
      <c r="X25">
        <f t="shared" si="10"/>
        <v>2.4195337060601063E-2</v>
      </c>
      <c r="Y25">
        <f t="shared" si="11"/>
        <v>7.4819032954726694E-2</v>
      </c>
      <c r="Z25">
        <f t="shared" si="12"/>
        <v>5.6540874108243933E-2</v>
      </c>
      <c r="AA25">
        <f t="shared" si="13"/>
        <v>1.1124702787637886E-2</v>
      </c>
      <c r="AB25">
        <f t="shared" si="14"/>
        <v>1.958154290911962E-2</v>
      </c>
      <c r="AC25">
        <f t="shared" si="15"/>
        <v>6.5702562889287885E-2</v>
      </c>
      <c r="AD25">
        <f t="shared" si="16"/>
        <v>2.6721293352397146E-2</v>
      </c>
      <c r="AE25">
        <f t="shared" si="17"/>
        <v>3.0254451291667706E-2</v>
      </c>
      <c r="AI25">
        <f t="shared" si="18"/>
        <v>4.8390674121202126E-2</v>
      </c>
      <c r="AJ25">
        <f t="shared" si="19"/>
        <v>0.14963806590945333</v>
      </c>
      <c r="AK25">
        <f t="shared" si="20"/>
        <v>0.11308174821648775</v>
      </c>
      <c r="AL25">
        <f t="shared" si="21"/>
        <v>2.224940557527566E-2</v>
      </c>
      <c r="AM25">
        <f t="shared" si="22"/>
        <v>3.9163085818239352E-2</v>
      </c>
      <c r="AN25">
        <f t="shared" si="23"/>
        <v>0.13140512577857566</v>
      </c>
      <c r="AO25">
        <f t="shared" si="24"/>
        <v>5.3442586704794182E-2</v>
      </c>
      <c r="AP25">
        <f t="shared" si="25"/>
        <v>6.05089025833353E-2</v>
      </c>
    </row>
    <row r="26" spans="1:42" x14ac:dyDescent="0.25">
      <c r="A26">
        <v>1.5599999999999999E-2</v>
      </c>
      <c r="B26">
        <v>0.60867271296502212</v>
      </c>
      <c r="C26">
        <v>0.54988291254631627</v>
      </c>
      <c r="D26">
        <v>0.39106817002458888</v>
      </c>
      <c r="E26">
        <v>0.49095798859903611</v>
      </c>
      <c r="F26">
        <v>0.54324470360673482</v>
      </c>
      <c r="G26">
        <v>0.56215583623235421</v>
      </c>
      <c r="H26">
        <v>0.42531692690815093</v>
      </c>
      <c r="I26">
        <v>0.5418732495880022</v>
      </c>
      <c r="J26">
        <v>0.50952507787023915</v>
      </c>
      <c r="M26">
        <f t="shared" si="1"/>
        <v>0.80433635648251101</v>
      </c>
      <c r="N26">
        <f t="shared" si="2"/>
        <v>0.77494145627315814</v>
      </c>
      <c r="O26">
        <f t="shared" si="3"/>
        <v>0.69553408501229441</v>
      </c>
      <c r="P26">
        <f t="shared" si="4"/>
        <v>0.74547899429951803</v>
      </c>
      <c r="Q26">
        <f t="shared" si="5"/>
        <v>0.77162235180336736</v>
      </c>
      <c r="R26">
        <f t="shared" si="6"/>
        <v>0.78107791811617711</v>
      </c>
      <c r="S26">
        <f t="shared" si="7"/>
        <v>0.71265846345407546</v>
      </c>
      <c r="T26">
        <f t="shared" si="8"/>
        <v>0.77093662479400105</v>
      </c>
      <c r="U26">
        <f t="shared" si="9"/>
        <v>0.75476253893511958</v>
      </c>
      <c r="X26">
        <f t="shared" si="10"/>
        <v>2.939490020935287E-2</v>
      </c>
      <c r="Y26">
        <f t="shared" si="11"/>
        <v>0.10880227147021659</v>
      </c>
      <c r="Z26">
        <f t="shared" si="12"/>
        <v>5.8857362182992978E-2</v>
      </c>
      <c r="AA26">
        <f t="shared" si="13"/>
        <v>3.2714004679143649E-2</v>
      </c>
      <c r="AB26">
        <f t="shared" si="14"/>
        <v>2.32584383663339E-2</v>
      </c>
      <c r="AC26">
        <f t="shared" si="15"/>
        <v>9.1677893028435542E-2</v>
      </c>
      <c r="AD26">
        <f t="shared" si="16"/>
        <v>3.3399731688509959E-2</v>
      </c>
      <c r="AE26">
        <f t="shared" si="17"/>
        <v>4.957381754739143E-2</v>
      </c>
      <c r="AI26">
        <f t="shared" si="18"/>
        <v>5.8789800418705851E-2</v>
      </c>
      <c r="AJ26">
        <f t="shared" si="19"/>
        <v>0.21760454294043324</v>
      </c>
      <c r="AK26">
        <f t="shared" si="20"/>
        <v>0.11771472436598601</v>
      </c>
      <c r="AL26">
        <f t="shared" si="21"/>
        <v>6.5428009358287298E-2</v>
      </c>
      <c r="AM26">
        <f t="shared" si="22"/>
        <v>4.6516876732667911E-2</v>
      </c>
      <c r="AN26">
        <f t="shared" si="23"/>
        <v>0.1833557860568712</v>
      </c>
      <c r="AO26">
        <f t="shared" si="24"/>
        <v>6.6799463377019919E-2</v>
      </c>
      <c r="AP26">
        <f t="shared" si="25"/>
        <v>9.9147635094782971E-2</v>
      </c>
    </row>
    <row r="27" spans="1:42" x14ac:dyDescent="0.25">
      <c r="A27">
        <v>1.8499999999999999E-2</v>
      </c>
      <c r="B27">
        <v>0.63470321377407113</v>
      </c>
      <c r="C27">
        <v>0.57140979293189043</v>
      </c>
      <c r="D27">
        <v>0.40996653139892048</v>
      </c>
      <c r="E27">
        <v>0.51024105759900618</v>
      </c>
      <c r="F27">
        <v>0.5562426076922643</v>
      </c>
      <c r="G27">
        <v>0.57826314290705105</v>
      </c>
      <c r="H27">
        <v>0.43368876163355158</v>
      </c>
      <c r="I27">
        <v>0.55344941176525297</v>
      </c>
      <c r="J27">
        <v>0.52912329971681682</v>
      </c>
      <c r="M27">
        <f t="shared" si="1"/>
        <v>0.81735160688703556</v>
      </c>
      <c r="N27">
        <f t="shared" si="2"/>
        <v>0.78570489646594521</v>
      </c>
      <c r="O27">
        <f t="shared" si="3"/>
        <v>0.70498326569946024</v>
      </c>
      <c r="P27">
        <f t="shared" si="4"/>
        <v>0.75512052879950309</v>
      </c>
      <c r="Q27">
        <f t="shared" si="5"/>
        <v>0.7781213038461321</v>
      </c>
      <c r="R27">
        <f t="shared" si="6"/>
        <v>0.78913157145352553</v>
      </c>
      <c r="S27">
        <f t="shared" si="7"/>
        <v>0.71684438081677582</v>
      </c>
      <c r="T27">
        <f t="shared" si="8"/>
        <v>0.77672470588262654</v>
      </c>
      <c r="U27">
        <f t="shared" si="9"/>
        <v>0.76456164985840847</v>
      </c>
      <c r="X27">
        <f t="shared" si="10"/>
        <v>3.1646710421090352E-2</v>
      </c>
      <c r="Y27">
        <f t="shared" si="11"/>
        <v>0.11236834118757533</v>
      </c>
      <c r="Z27">
        <f t="shared" si="12"/>
        <v>6.2231078087532476E-2</v>
      </c>
      <c r="AA27">
        <f t="shared" si="13"/>
        <v>3.9230303040903469E-2</v>
      </c>
      <c r="AB27">
        <f t="shared" si="14"/>
        <v>2.8220035433510038E-2</v>
      </c>
      <c r="AC27">
        <f t="shared" si="15"/>
        <v>0.10050722607025975</v>
      </c>
      <c r="AD27">
        <f t="shared" si="16"/>
        <v>4.0626901004409022E-2</v>
      </c>
      <c r="AE27">
        <f t="shared" si="17"/>
        <v>5.2789957028627099E-2</v>
      </c>
      <c r="AI27">
        <f t="shared" si="18"/>
        <v>6.3293420842180703E-2</v>
      </c>
      <c r="AJ27">
        <f t="shared" si="19"/>
        <v>0.22473668237515065</v>
      </c>
      <c r="AK27">
        <f t="shared" si="20"/>
        <v>0.12446215617506495</v>
      </c>
      <c r="AL27">
        <f t="shared" si="21"/>
        <v>7.8460606081806827E-2</v>
      </c>
      <c r="AM27">
        <f t="shared" si="22"/>
        <v>5.6440070867020076E-2</v>
      </c>
      <c r="AN27">
        <f t="shared" si="23"/>
        <v>0.20101445214051955</v>
      </c>
      <c r="AO27">
        <f t="shared" si="24"/>
        <v>8.1253802008818155E-2</v>
      </c>
      <c r="AP27">
        <f t="shared" si="25"/>
        <v>0.10557991405725431</v>
      </c>
    </row>
    <row r="28" spans="1:42" x14ac:dyDescent="0.25">
      <c r="A28">
        <v>2.1299999999999999E-2</v>
      </c>
      <c r="B28">
        <v>0.66950015294739285</v>
      </c>
      <c r="C28">
        <v>0.60152701388514385</v>
      </c>
      <c r="D28">
        <v>0.38952060226701618</v>
      </c>
      <c r="E28">
        <v>0.5553611823961192</v>
      </c>
      <c r="F28">
        <v>0.53716105414065152</v>
      </c>
      <c r="G28">
        <v>0.60867698817659921</v>
      </c>
      <c r="H28">
        <v>0.4165099218869075</v>
      </c>
      <c r="I28">
        <v>0.56877666221366874</v>
      </c>
      <c r="J28">
        <v>0.52815709698666469</v>
      </c>
      <c r="M28">
        <f t="shared" si="1"/>
        <v>0.83475007647369637</v>
      </c>
      <c r="N28">
        <f t="shared" si="2"/>
        <v>0.80076350694257192</v>
      </c>
      <c r="O28">
        <f t="shared" si="3"/>
        <v>0.69476030113350806</v>
      </c>
      <c r="P28">
        <f t="shared" si="4"/>
        <v>0.77768059119805955</v>
      </c>
      <c r="Q28">
        <f t="shared" si="5"/>
        <v>0.76858052707032576</v>
      </c>
      <c r="R28">
        <f t="shared" si="6"/>
        <v>0.8043384940882996</v>
      </c>
      <c r="S28">
        <f t="shared" si="7"/>
        <v>0.70825496094345375</v>
      </c>
      <c r="T28">
        <f t="shared" si="8"/>
        <v>0.78438833110683437</v>
      </c>
      <c r="U28">
        <f t="shared" si="9"/>
        <v>0.76407854849333234</v>
      </c>
      <c r="X28">
        <f t="shared" si="10"/>
        <v>3.3986569531124444E-2</v>
      </c>
      <c r="Y28">
        <f t="shared" si="11"/>
        <v>0.1399897753401883</v>
      </c>
      <c r="Z28">
        <f t="shared" si="12"/>
        <v>5.7069485275636822E-2</v>
      </c>
      <c r="AA28">
        <f t="shared" si="13"/>
        <v>6.6169549403370609E-2</v>
      </c>
      <c r="AB28">
        <f t="shared" si="14"/>
        <v>3.0411582385396763E-2</v>
      </c>
      <c r="AC28">
        <f t="shared" si="15"/>
        <v>0.12649511553024262</v>
      </c>
      <c r="AD28">
        <f t="shared" si="16"/>
        <v>5.0361745366861999E-2</v>
      </c>
      <c r="AE28">
        <f t="shared" si="17"/>
        <v>7.0671527980364024E-2</v>
      </c>
      <c r="AI28">
        <f t="shared" si="18"/>
        <v>6.7973139062248999E-2</v>
      </c>
      <c r="AJ28">
        <f t="shared" si="19"/>
        <v>0.27997955068037667</v>
      </c>
      <c r="AK28">
        <f t="shared" si="20"/>
        <v>0.11413897055127364</v>
      </c>
      <c r="AL28">
        <f t="shared" si="21"/>
        <v>0.13233909880674133</v>
      </c>
      <c r="AM28">
        <f t="shared" si="22"/>
        <v>6.0823164770793636E-2</v>
      </c>
      <c r="AN28">
        <f t="shared" si="23"/>
        <v>0.25299023106048535</v>
      </c>
      <c r="AO28">
        <f t="shared" si="24"/>
        <v>0.10072349073372411</v>
      </c>
      <c r="AP28">
        <f t="shared" si="25"/>
        <v>0.14134305596072816</v>
      </c>
    </row>
    <row r="29" spans="1:42" x14ac:dyDescent="0.25">
      <c r="A29">
        <v>2.4199999999999999E-2</v>
      </c>
      <c r="B29">
        <v>0.68302680578287256</v>
      </c>
      <c r="C29">
        <v>0.58931930826981427</v>
      </c>
      <c r="D29">
        <v>0.3996800325571932</v>
      </c>
      <c r="E29">
        <v>0.53996612549977685</v>
      </c>
      <c r="F29">
        <v>0.54366434584278356</v>
      </c>
      <c r="G29">
        <v>0.61550517459176313</v>
      </c>
      <c r="H29">
        <v>0.41732880844700909</v>
      </c>
      <c r="I29">
        <v>0.55827450385137367</v>
      </c>
      <c r="J29">
        <v>0.53331152961830708</v>
      </c>
      <c r="M29">
        <f t="shared" si="1"/>
        <v>0.84151340289143628</v>
      </c>
      <c r="N29">
        <f t="shared" si="2"/>
        <v>0.79465965413490713</v>
      </c>
      <c r="O29">
        <f t="shared" si="3"/>
        <v>0.6998400162785966</v>
      </c>
      <c r="P29">
        <f t="shared" si="4"/>
        <v>0.76998306274988848</v>
      </c>
      <c r="Q29">
        <f t="shared" si="5"/>
        <v>0.77183217292139172</v>
      </c>
      <c r="R29">
        <f t="shared" si="6"/>
        <v>0.80775258729588151</v>
      </c>
      <c r="S29">
        <f t="shared" si="7"/>
        <v>0.70866440422350452</v>
      </c>
      <c r="T29">
        <f t="shared" si="8"/>
        <v>0.77913725192568684</v>
      </c>
      <c r="U29">
        <f t="shared" si="9"/>
        <v>0.76665576480915354</v>
      </c>
      <c r="X29">
        <f t="shared" si="10"/>
        <v>4.6853748756529146E-2</v>
      </c>
      <c r="Y29">
        <f t="shared" si="11"/>
        <v>0.14167338661283968</v>
      </c>
      <c r="Z29">
        <f t="shared" si="12"/>
        <v>7.1530340141547799E-2</v>
      </c>
      <c r="AA29">
        <f t="shared" si="13"/>
        <v>6.9681229970044556E-2</v>
      </c>
      <c r="AB29">
        <f t="shared" si="14"/>
        <v>3.3760815595554772E-2</v>
      </c>
      <c r="AC29">
        <f t="shared" si="15"/>
        <v>0.13284899866793176</v>
      </c>
      <c r="AD29">
        <f t="shared" si="16"/>
        <v>6.2376150965749444E-2</v>
      </c>
      <c r="AE29">
        <f t="shared" si="17"/>
        <v>7.485763808228274E-2</v>
      </c>
      <c r="AI29">
        <f t="shared" si="18"/>
        <v>9.3707497513058291E-2</v>
      </c>
      <c r="AJ29">
        <f t="shared" si="19"/>
        <v>0.28334677322567936</v>
      </c>
      <c r="AK29">
        <f t="shared" si="20"/>
        <v>0.14306068028309571</v>
      </c>
      <c r="AL29">
        <f t="shared" si="21"/>
        <v>0.139362459940089</v>
      </c>
      <c r="AM29">
        <f t="shared" si="22"/>
        <v>6.7521631191109432E-2</v>
      </c>
      <c r="AN29">
        <f t="shared" si="23"/>
        <v>0.26569799733586347</v>
      </c>
      <c r="AO29">
        <f t="shared" si="24"/>
        <v>0.12475230193149889</v>
      </c>
      <c r="AP29">
        <f t="shared" si="25"/>
        <v>0.14971527616456548</v>
      </c>
    </row>
    <row r="30" spans="1:42" x14ac:dyDescent="0.25">
      <c r="A30">
        <v>2.7E-2</v>
      </c>
      <c r="B30">
        <v>0.70828775778091713</v>
      </c>
      <c r="C30">
        <v>0.60289103826890977</v>
      </c>
      <c r="D30">
        <v>0.41060121168336827</v>
      </c>
      <c r="E30">
        <v>0.54542362546149037</v>
      </c>
      <c r="F30">
        <v>0.56445687490655028</v>
      </c>
      <c r="G30">
        <v>0.64438948178025446</v>
      </c>
      <c r="H30">
        <v>0.4365075523015301</v>
      </c>
      <c r="I30">
        <v>0.588115343928449</v>
      </c>
      <c r="J30">
        <v>0.55508444107084776</v>
      </c>
      <c r="M30">
        <f t="shared" si="1"/>
        <v>0.85414387889045851</v>
      </c>
      <c r="N30">
        <f t="shared" si="2"/>
        <v>0.80144551913445494</v>
      </c>
      <c r="O30">
        <f t="shared" si="3"/>
        <v>0.70530060584168419</v>
      </c>
      <c r="P30">
        <f t="shared" si="4"/>
        <v>0.77271181273074518</v>
      </c>
      <c r="Q30">
        <f t="shared" si="5"/>
        <v>0.78222843745327508</v>
      </c>
      <c r="R30">
        <f t="shared" si="6"/>
        <v>0.82219474089012723</v>
      </c>
      <c r="S30">
        <f t="shared" si="7"/>
        <v>0.71825377615076502</v>
      </c>
      <c r="T30">
        <f t="shared" si="8"/>
        <v>0.7940576719642245</v>
      </c>
      <c r="U30">
        <f t="shared" si="9"/>
        <v>0.77754222053542388</v>
      </c>
      <c r="X30">
        <f t="shared" si="10"/>
        <v>5.2698359756003565E-2</v>
      </c>
      <c r="Y30">
        <f t="shared" si="11"/>
        <v>0.14884327304877432</v>
      </c>
      <c r="Z30">
        <f t="shared" si="12"/>
        <v>8.1432066159713323E-2</v>
      </c>
      <c r="AA30">
        <f t="shared" si="13"/>
        <v>7.1915441437183425E-2</v>
      </c>
      <c r="AB30">
        <f t="shared" si="14"/>
        <v>3.1949138000331279E-2</v>
      </c>
      <c r="AC30">
        <f t="shared" si="15"/>
        <v>0.13589010273969349</v>
      </c>
      <c r="AD30">
        <f t="shared" si="16"/>
        <v>6.0086206926234009E-2</v>
      </c>
      <c r="AE30">
        <f t="shared" si="17"/>
        <v>7.660165835503463E-2</v>
      </c>
      <c r="AI30">
        <f t="shared" si="18"/>
        <v>0.10539671951200735</v>
      </c>
      <c r="AJ30">
        <f t="shared" si="19"/>
        <v>0.29768654609754885</v>
      </c>
      <c r="AK30">
        <f t="shared" si="20"/>
        <v>0.16286413231942676</v>
      </c>
      <c r="AL30">
        <f t="shared" si="21"/>
        <v>0.14383088287436685</v>
      </c>
      <c r="AM30">
        <f t="shared" si="22"/>
        <v>6.3898276000662668E-2</v>
      </c>
      <c r="AN30">
        <f t="shared" si="23"/>
        <v>0.27178020547938703</v>
      </c>
      <c r="AO30">
        <f t="shared" si="24"/>
        <v>0.12017241385246813</v>
      </c>
      <c r="AP30">
        <f t="shared" si="25"/>
        <v>0.15320331671006937</v>
      </c>
    </row>
    <row r="31" spans="1:42" x14ac:dyDescent="0.25">
      <c r="A31">
        <v>2.98E-2</v>
      </c>
      <c r="B31">
        <v>0.68466405726223012</v>
      </c>
      <c r="C31">
        <v>0.59679322266607548</v>
      </c>
      <c r="D31">
        <v>0.40954515410943471</v>
      </c>
      <c r="E31">
        <v>0.53805253939445863</v>
      </c>
      <c r="F31">
        <v>0.57450029787963552</v>
      </c>
      <c r="G31">
        <v>0.64587085188847315</v>
      </c>
      <c r="H31">
        <v>0.44838318734862059</v>
      </c>
      <c r="I31">
        <v>0.59178247324711142</v>
      </c>
      <c r="J31">
        <v>0.5580880341933997</v>
      </c>
      <c r="M31">
        <f t="shared" si="1"/>
        <v>0.84233202863111512</v>
      </c>
      <c r="N31">
        <f t="shared" si="2"/>
        <v>0.79839661133303774</v>
      </c>
      <c r="O31">
        <f t="shared" si="3"/>
        <v>0.7047725770547173</v>
      </c>
      <c r="P31">
        <f t="shared" si="4"/>
        <v>0.76902626969722931</v>
      </c>
      <c r="Q31">
        <f t="shared" si="5"/>
        <v>0.78725014893981782</v>
      </c>
      <c r="R31">
        <f t="shared" si="6"/>
        <v>0.82293542594423652</v>
      </c>
      <c r="S31">
        <f t="shared" si="7"/>
        <v>0.7241915936743103</v>
      </c>
      <c r="T31">
        <f t="shared" si="8"/>
        <v>0.79589123662355576</v>
      </c>
      <c r="U31">
        <f t="shared" si="9"/>
        <v>0.7790440170966999</v>
      </c>
      <c r="X31">
        <f t="shared" si="10"/>
        <v>4.3935417298077373E-2</v>
      </c>
      <c r="Y31">
        <f t="shared" si="11"/>
        <v>0.13755945157639782</v>
      </c>
      <c r="Z31">
        <f t="shared" si="12"/>
        <v>7.3305758933885801E-2</v>
      </c>
      <c r="AA31">
        <f t="shared" si="13"/>
        <v>5.5081879691297297E-2</v>
      </c>
      <c r="AB31">
        <f t="shared" si="14"/>
        <v>1.9396602686878595E-2</v>
      </c>
      <c r="AC31">
        <f t="shared" si="15"/>
        <v>0.11814043495680482</v>
      </c>
      <c r="AD31">
        <f t="shared" si="16"/>
        <v>4.6440792007559351E-2</v>
      </c>
      <c r="AE31">
        <f t="shared" si="17"/>
        <v>6.3288011534415212E-2</v>
      </c>
      <c r="AI31">
        <f t="shared" si="18"/>
        <v>8.7870834596154634E-2</v>
      </c>
      <c r="AJ31">
        <f t="shared" si="19"/>
        <v>0.27511890315279541</v>
      </c>
      <c r="AK31">
        <f t="shared" si="20"/>
        <v>0.14661151786777149</v>
      </c>
      <c r="AL31">
        <f t="shared" si="21"/>
        <v>0.11016375938259459</v>
      </c>
      <c r="AM31">
        <f t="shared" si="22"/>
        <v>3.8793205373756967E-2</v>
      </c>
      <c r="AN31">
        <f t="shared" si="23"/>
        <v>0.23628086991360953</v>
      </c>
      <c r="AO31">
        <f t="shared" si="24"/>
        <v>9.2881584015118701E-2</v>
      </c>
      <c r="AP31">
        <f t="shared" si="25"/>
        <v>0.12657602306883042</v>
      </c>
    </row>
    <row r="32" spans="1:42" x14ac:dyDescent="0.25">
      <c r="A32">
        <v>3.27E-2</v>
      </c>
      <c r="B32">
        <v>0.65573541010244218</v>
      </c>
      <c r="C32">
        <v>0.58962564325284628</v>
      </c>
      <c r="D32">
        <v>0.38163429257496018</v>
      </c>
      <c r="E32">
        <v>0.5429265915924435</v>
      </c>
      <c r="F32">
        <v>0.54491545782691253</v>
      </c>
      <c r="G32">
        <v>0.64564325082617646</v>
      </c>
      <c r="H32">
        <v>0.4132877259259462</v>
      </c>
      <c r="I32">
        <v>0.57334551962508218</v>
      </c>
      <c r="J32">
        <v>0.53190334421244201</v>
      </c>
      <c r="M32">
        <f t="shared" si="1"/>
        <v>0.82786770505122109</v>
      </c>
      <c r="N32">
        <f t="shared" si="2"/>
        <v>0.79481282162642319</v>
      </c>
      <c r="O32">
        <f t="shared" si="3"/>
        <v>0.69081714628748014</v>
      </c>
      <c r="P32">
        <f t="shared" si="4"/>
        <v>0.77146329579622175</v>
      </c>
      <c r="Q32">
        <f t="shared" si="5"/>
        <v>0.77245772891345621</v>
      </c>
      <c r="R32">
        <f t="shared" si="6"/>
        <v>0.82282162541308823</v>
      </c>
      <c r="S32">
        <f t="shared" si="7"/>
        <v>0.7066438629629731</v>
      </c>
      <c r="T32">
        <f t="shared" si="8"/>
        <v>0.78667275981254114</v>
      </c>
      <c r="U32">
        <f t="shared" si="9"/>
        <v>0.76595167210622095</v>
      </c>
      <c r="X32">
        <f t="shared" si="10"/>
        <v>3.3054883424797898E-2</v>
      </c>
      <c r="Y32">
        <f t="shared" si="11"/>
        <v>0.13705055876374095</v>
      </c>
      <c r="Z32">
        <f t="shared" si="12"/>
        <v>5.6404409254999344E-2</v>
      </c>
      <c r="AA32">
        <f t="shared" si="13"/>
        <v>5.5409976137764883E-2</v>
      </c>
      <c r="AB32">
        <f t="shared" si="14"/>
        <v>5.046079638132861E-3</v>
      </c>
      <c r="AC32">
        <f t="shared" si="15"/>
        <v>0.12122384208824799</v>
      </c>
      <c r="AD32">
        <f t="shared" si="16"/>
        <v>4.1194945238679948E-2</v>
      </c>
      <c r="AE32">
        <f t="shared" si="17"/>
        <v>6.1916032945000143E-2</v>
      </c>
      <c r="AI32">
        <f t="shared" si="18"/>
        <v>6.6109766849595908E-2</v>
      </c>
      <c r="AJ32">
        <f t="shared" si="19"/>
        <v>0.27410111752748201</v>
      </c>
      <c r="AK32">
        <f t="shared" si="20"/>
        <v>0.11280881850999869</v>
      </c>
      <c r="AL32">
        <f t="shared" si="21"/>
        <v>0.11081995227552965</v>
      </c>
      <c r="AM32">
        <f t="shared" si="22"/>
        <v>1.0092159276265722E-2</v>
      </c>
      <c r="AN32">
        <f t="shared" si="23"/>
        <v>0.24244768417649598</v>
      </c>
      <c r="AO32">
        <f t="shared" si="24"/>
        <v>8.2389890477360006E-2</v>
      </c>
      <c r="AP32">
        <f t="shared" si="25"/>
        <v>0.12383206589000018</v>
      </c>
    </row>
    <row r="33" spans="1:42" x14ac:dyDescent="0.25">
      <c r="A33">
        <v>3.5499999999999997E-2</v>
      </c>
      <c r="B33">
        <v>0.66377618963208607</v>
      </c>
      <c r="C33">
        <v>0.59778705380828934</v>
      </c>
      <c r="D33">
        <v>0.40768498981074858</v>
      </c>
      <c r="E33">
        <v>0.53597845159492041</v>
      </c>
      <c r="F33">
        <v>0.58022356208989467</v>
      </c>
      <c r="G33">
        <v>0.65678924939092176</v>
      </c>
      <c r="H33">
        <v>0.44252140908240678</v>
      </c>
      <c r="I33">
        <v>0.60252717351706031</v>
      </c>
      <c r="J33">
        <v>0.55926373910000693</v>
      </c>
      <c r="M33">
        <f t="shared" si="1"/>
        <v>0.83188809481604298</v>
      </c>
      <c r="N33">
        <f t="shared" si="2"/>
        <v>0.79889352690414461</v>
      </c>
      <c r="O33">
        <f t="shared" si="3"/>
        <v>0.70384249490537432</v>
      </c>
      <c r="P33">
        <f t="shared" si="4"/>
        <v>0.76798922579746021</v>
      </c>
      <c r="Q33">
        <f t="shared" si="5"/>
        <v>0.79011178104494739</v>
      </c>
      <c r="R33">
        <f t="shared" si="6"/>
        <v>0.82839462469546088</v>
      </c>
      <c r="S33">
        <f t="shared" si="7"/>
        <v>0.72126070454120339</v>
      </c>
      <c r="T33">
        <f t="shared" si="8"/>
        <v>0.80126358675853016</v>
      </c>
      <c r="U33">
        <f t="shared" si="9"/>
        <v>0.77963186955000352</v>
      </c>
      <c r="X33">
        <f t="shared" si="10"/>
        <v>3.2994567911898365E-2</v>
      </c>
      <c r="Y33">
        <f t="shared" si="11"/>
        <v>0.12804559991066866</v>
      </c>
      <c r="Z33">
        <f t="shared" si="12"/>
        <v>6.3898869018582771E-2</v>
      </c>
      <c r="AA33">
        <f t="shared" si="13"/>
        <v>4.1776313771095586E-2</v>
      </c>
      <c r="AB33">
        <f t="shared" si="14"/>
        <v>3.4934701205820984E-3</v>
      </c>
      <c r="AC33">
        <f t="shared" si="15"/>
        <v>0.11062739027483959</v>
      </c>
      <c r="AD33">
        <f t="shared" si="16"/>
        <v>3.0624508057512823E-2</v>
      </c>
      <c r="AE33">
        <f t="shared" si="17"/>
        <v>5.2256225266039458E-2</v>
      </c>
      <c r="AI33">
        <f t="shared" si="18"/>
        <v>6.598913582379673E-2</v>
      </c>
      <c r="AJ33">
        <f t="shared" si="19"/>
        <v>0.25609119982133749</v>
      </c>
      <c r="AK33">
        <f t="shared" si="20"/>
        <v>0.12779773803716565</v>
      </c>
      <c r="AL33">
        <f t="shared" si="21"/>
        <v>8.3552627542191393E-2</v>
      </c>
      <c r="AM33">
        <f t="shared" si="22"/>
        <v>6.9869402411643078E-3</v>
      </c>
      <c r="AN33">
        <f t="shared" si="23"/>
        <v>0.22125478054967929</v>
      </c>
      <c r="AO33">
        <f t="shared" si="24"/>
        <v>6.1249016115025756E-2</v>
      </c>
      <c r="AP33">
        <f t="shared" si="25"/>
        <v>0.10451245053207914</v>
      </c>
    </row>
    <row r="34" spans="1:42" x14ac:dyDescent="0.25">
      <c r="A34">
        <v>3.8399999999999997E-2</v>
      </c>
      <c r="B34">
        <v>0.65369183632384786</v>
      </c>
      <c r="C34">
        <v>0.58525486356307976</v>
      </c>
      <c r="D34">
        <v>0.4013321752119044</v>
      </c>
      <c r="E34">
        <v>0.53372332945105272</v>
      </c>
      <c r="F34">
        <v>0.56321786391135731</v>
      </c>
      <c r="G34">
        <v>0.6518356047367565</v>
      </c>
      <c r="H34">
        <v>0.4263147187249986</v>
      </c>
      <c r="I34">
        <v>0.5820591350722486</v>
      </c>
      <c r="J34">
        <v>0.5436516192099079</v>
      </c>
      <c r="M34">
        <f t="shared" si="1"/>
        <v>0.82684591816192388</v>
      </c>
      <c r="N34">
        <f t="shared" si="2"/>
        <v>0.79262743178153983</v>
      </c>
      <c r="O34">
        <f t="shared" si="3"/>
        <v>0.70066608760595217</v>
      </c>
      <c r="P34">
        <f t="shared" si="4"/>
        <v>0.76686166472552642</v>
      </c>
      <c r="Q34">
        <f t="shared" si="5"/>
        <v>0.78160893195567871</v>
      </c>
      <c r="R34">
        <f t="shared" si="6"/>
        <v>0.8259178023683782</v>
      </c>
      <c r="S34">
        <f t="shared" si="7"/>
        <v>0.71315735936249935</v>
      </c>
      <c r="T34">
        <f t="shared" si="8"/>
        <v>0.7910295675361243</v>
      </c>
      <c r="U34">
        <f t="shared" si="9"/>
        <v>0.77182580960495395</v>
      </c>
      <c r="X34">
        <f t="shared" si="10"/>
        <v>3.421848638038405E-2</v>
      </c>
      <c r="Y34">
        <f t="shared" si="11"/>
        <v>0.12617983055597171</v>
      </c>
      <c r="Z34">
        <f t="shared" si="12"/>
        <v>5.9984253436397461E-2</v>
      </c>
      <c r="AA34">
        <f t="shared" si="13"/>
        <v>4.5236986206245167E-2</v>
      </c>
      <c r="AB34">
        <f t="shared" si="14"/>
        <v>9.2811579354568075E-4</v>
      </c>
      <c r="AC34">
        <f t="shared" si="15"/>
        <v>0.11368855879942452</v>
      </c>
      <c r="AD34">
        <f t="shared" si="16"/>
        <v>3.5816350625799576E-2</v>
      </c>
      <c r="AE34">
        <f t="shared" si="17"/>
        <v>5.5020108556969927E-2</v>
      </c>
      <c r="AF34">
        <f>COUNT(X25:X34)</f>
        <v>10</v>
      </c>
      <c r="AI34">
        <f t="shared" si="18"/>
        <v>6.84369727607681E-2</v>
      </c>
      <c r="AJ34">
        <f t="shared" si="19"/>
        <v>0.25235966111194347</v>
      </c>
      <c r="AK34">
        <f t="shared" si="20"/>
        <v>0.11996850687279514</v>
      </c>
      <c r="AL34">
        <f t="shared" si="21"/>
        <v>9.0473972412490555E-2</v>
      </c>
      <c r="AM34">
        <f t="shared" si="22"/>
        <v>1.8562315870913615E-3</v>
      </c>
      <c r="AN34">
        <f t="shared" si="23"/>
        <v>0.22737711759884927</v>
      </c>
      <c r="AO34">
        <f t="shared" si="24"/>
        <v>7.1632701251599262E-2</v>
      </c>
      <c r="AP34">
        <f t="shared" si="25"/>
        <v>0.11004021711393996</v>
      </c>
    </row>
    <row r="35" spans="1:42" s="10" customFormat="1" x14ac:dyDescent="0.25">
      <c r="A35" s="10" t="s">
        <v>33</v>
      </c>
      <c r="M35" s="10">
        <f>AVERAGE(M25:M34)</f>
        <v>0.82692527912083058</v>
      </c>
      <c r="N35" s="10">
        <f t="shared" ref="N35" si="28">AVERAGE(N25:N34)</f>
        <v>0.79062738104584462</v>
      </c>
      <c r="O35" s="10">
        <f t="shared" ref="O35" si="29">AVERAGE(O25:O34)</f>
        <v>0.70139212697872044</v>
      </c>
      <c r="P35" s="10">
        <f t="shared" ref="P35" si="30">AVERAGE(P25:P34)</f>
        <v>0.76279982946087721</v>
      </c>
      <c r="Q35" s="10">
        <f t="shared" ref="Q35" si="31">AVERAGE(Q25:Q34)</f>
        <v>0.77809124040836186</v>
      </c>
      <c r="R35" s="10">
        <f t="shared" ref="R35" si="32">AVERAGE(R25:R34)</f>
        <v>0.80732069702789189</v>
      </c>
      <c r="S35" s="10">
        <f t="shared" ref="S35" si="33">AVERAGE(S25:S34)</f>
        <v>0.7152450666163136</v>
      </c>
      <c r="T35" s="10">
        <f t="shared" ref="T35" si="34">AVERAGE(T25:T34)</f>
        <v>0.78416041659745905</v>
      </c>
      <c r="U35" s="10">
        <f t="shared" ref="U35" si="35">AVERAGE(U25:U34)</f>
        <v>0.76820233626205126</v>
      </c>
      <c r="X35" s="10">
        <f>((M35-N35)/N35)*100</f>
        <v>4.5910246653703002</v>
      </c>
      <c r="Y35" s="10">
        <f>((M35-O35)/O35)*100</f>
        <v>17.897713320913667</v>
      </c>
      <c r="Z35" s="10">
        <f>((M35-P35)/P35)*100</f>
        <v>8.4065894069844251</v>
      </c>
      <c r="AA35" s="10">
        <f>((M35-Q35)/Q35)*100</f>
        <v>6.2761326919500329</v>
      </c>
      <c r="AB35" s="10">
        <f>((M35-R35)/R35)*100</f>
        <v>2.4283512320583278</v>
      </c>
      <c r="AC35" s="10">
        <f>((M35-S35)/S35)*100</f>
        <v>15.614258345444384</v>
      </c>
      <c r="AD35" s="10">
        <f>((M35-T35)/T35)*100</f>
        <v>5.4535859778451998</v>
      </c>
      <c r="AE35" s="10">
        <f>((M35-U35)/U35)*100</f>
        <v>7.6442025865888015</v>
      </c>
      <c r="AI35" s="10">
        <f t="shared" si="18"/>
        <v>0</v>
      </c>
      <c r="AJ35" s="10">
        <f t="shared" si="19"/>
        <v>0</v>
      </c>
      <c r="AK35" s="10">
        <f t="shared" si="20"/>
        <v>0</v>
      </c>
      <c r="AL35" s="10">
        <f t="shared" si="21"/>
        <v>0</v>
      </c>
      <c r="AM35" s="10">
        <f t="shared" si="22"/>
        <v>0</v>
      </c>
      <c r="AN35" s="10">
        <f t="shared" si="23"/>
        <v>0</v>
      </c>
      <c r="AO35" s="10">
        <f t="shared" si="24"/>
        <v>0</v>
      </c>
      <c r="AP35" s="10">
        <f t="shared" si="25"/>
        <v>0</v>
      </c>
    </row>
    <row r="36" spans="1:42" x14ac:dyDescent="0.25">
      <c r="A36">
        <v>1.3599999999999999E-2</v>
      </c>
      <c r="B36">
        <v>0.70955649783911556</v>
      </c>
      <c r="C36">
        <v>0.68339563211958798</v>
      </c>
      <c r="D36">
        <v>0.526647797689903</v>
      </c>
      <c r="E36">
        <v>0.64105133960361371</v>
      </c>
      <c r="F36">
        <v>0.73723006021353299</v>
      </c>
      <c r="G36">
        <v>0.53310479970504832</v>
      </c>
      <c r="H36">
        <v>0.62001389085923009</v>
      </c>
      <c r="I36">
        <v>0.69576755767465714</v>
      </c>
      <c r="J36">
        <v>0.64963973972764488</v>
      </c>
      <c r="M36">
        <f t="shared" si="1"/>
        <v>0.85477824891955778</v>
      </c>
      <c r="N36">
        <f t="shared" si="2"/>
        <v>0.84169781605979399</v>
      </c>
      <c r="O36">
        <f t="shared" si="3"/>
        <v>0.76332389884495155</v>
      </c>
      <c r="P36">
        <f t="shared" si="4"/>
        <v>0.82052566980180686</v>
      </c>
      <c r="Q36">
        <f t="shared" si="5"/>
        <v>0.86861503010676655</v>
      </c>
      <c r="R36">
        <f t="shared" si="6"/>
        <v>0.7665523998525241</v>
      </c>
      <c r="S36">
        <f t="shared" si="7"/>
        <v>0.81000694542961504</v>
      </c>
      <c r="T36">
        <f t="shared" si="8"/>
        <v>0.84788377883732857</v>
      </c>
      <c r="U36">
        <f t="shared" si="9"/>
        <v>0.8248198698638225</v>
      </c>
      <c r="X36">
        <f t="shared" si="10"/>
        <v>1.3080432859763791E-2</v>
      </c>
      <c r="Y36">
        <f t="shared" si="11"/>
        <v>9.1454350074606228E-2</v>
      </c>
      <c r="Z36">
        <f t="shared" si="12"/>
        <v>3.4252579117750925E-2</v>
      </c>
      <c r="AA36">
        <f t="shared" si="13"/>
        <v>-1.3836781187208769E-2</v>
      </c>
      <c r="AB36">
        <f t="shared" si="14"/>
        <v>8.8225849067033679E-2</v>
      </c>
      <c r="AC36">
        <f t="shared" si="15"/>
        <v>4.4771303489942738E-2</v>
      </c>
      <c r="AD36">
        <f t="shared" si="16"/>
        <v>6.8944700822292093E-3</v>
      </c>
      <c r="AE36">
        <f t="shared" si="17"/>
        <v>2.9958379055735285E-2</v>
      </c>
      <c r="AI36">
        <f t="shared" si="18"/>
        <v>2.6160865719527582E-2</v>
      </c>
      <c r="AJ36">
        <f t="shared" si="19"/>
        <v>0.18290870014921257</v>
      </c>
      <c r="AK36">
        <f t="shared" si="20"/>
        <v>6.8505158235501851E-2</v>
      </c>
      <c r="AL36">
        <f t="shared" si="21"/>
        <v>-2.7673562374417426E-2</v>
      </c>
      <c r="AM36">
        <f t="shared" si="22"/>
        <v>0.17645169813406725</v>
      </c>
      <c r="AN36">
        <f t="shared" si="23"/>
        <v>8.9542606979885475E-2</v>
      </c>
      <c r="AO36">
        <f t="shared" si="24"/>
        <v>1.3788940164458419E-2</v>
      </c>
      <c r="AP36">
        <f t="shared" si="25"/>
        <v>5.991675811147068E-2</v>
      </c>
    </row>
    <row r="37" spans="1:42" x14ac:dyDescent="0.25">
      <c r="A37">
        <v>1.66E-2</v>
      </c>
      <c r="B37">
        <v>0.73185636467673965</v>
      </c>
      <c r="C37">
        <v>0.69626320364536887</v>
      </c>
      <c r="D37">
        <v>0.53314778755892289</v>
      </c>
      <c r="E37">
        <v>0.653879322089436</v>
      </c>
      <c r="F37">
        <v>0.74192551854791244</v>
      </c>
      <c r="G37">
        <v>0.5596188711082456</v>
      </c>
      <c r="H37">
        <v>0.61727994159920085</v>
      </c>
      <c r="I37">
        <v>0.7156320686526062</v>
      </c>
      <c r="J37">
        <v>0.66090649254852829</v>
      </c>
      <c r="M37">
        <f t="shared" si="1"/>
        <v>0.86592818233836977</v>
      </c>
      <c r="N37">
        <f t="shared" si="2"/>
        <v>0.84813160182268443</v>
      </c>
      <c r="O37">
        <f t="shared" si="3"/>
        <v>0.7665738937794615</v>
      </c>
      <c r="P37">
        <f t="shared" si="4"/>
        <v>0.82693966104471794</v>
      </c>
      <c r="Q37">
        <f t="shared" si="5"/>
        <v>0.87096275927395617</v>
      </c>
      <c r="R37">
        <f t="shared" si="6"/>
        <v>0.77980943555412274</v>
      </c>
      <c r="S37">
        <f t="shared" si="7"/>
        <v>0.80863997079960037</v>
      </c>
      <c r="T37">
        <f t="shared" si="8"/>
        <v>0.85781603432630305</v>
      </c>
      <c r="U37">
        <f t="shared" si="9"/>
        <v>0.8304532462742642</v>
      </c>
      <c r="X37">
        <f t="shared" si="10"/>
        <v>1.7796580515685334E-2</v>
      </c>
      <c r="Y37">
        <f t="shared" si="11"/>
        <v>9.9354288558908266E-2</v>
      </c>
      <c r="Z37">
        <f t="shared" si="12"/>
        <v>3.8988521293651823E-2</v>
      </c>
      <c r="AA37">
        <f t="shared" si="13"/>
        <v>-5.034576935586399E-3</v>
      </c>
      <c r="AB37">
        <f t="shared" si="14"/>
        <v>8.6118746784247024E-2</v>
      </c>
      <c r="AC37">
        <f t="shared" si="15"/>
        <v>5.7288211538769396E-2</v>
      </c>
      <c r="AD37">
        <f t="shared" si="16"/>
        <v>8.1121480120667222E-3</v>
      </c>
      <c r="AE37">
        <f t="shared" si="17"/>
        <v>3.5474936064105567E-2</v>
      </c>
      <c r="AI37">
        <f t="shared" si="18"/>
        <v>3.5593161031370779E-2</v>
      </c>
      <c r="AJ37">
        <f t="shared" si="19"/>
        <v>0.19870857711781675</v>
      </c>
      <c r="AK37">
        <f t="shared" si="20"/>
        <v>7.7977042587303647E-2</v>
      </c>
      <c r="AL37">
        <f t="shared" si="21"/>
        <v>-1.0069153871172798E-2</v>
      </c>
      <c r="AM37">
        <f t="shared" si="22"/>
        <v>0.17223749356849405</v>
      </c>
      <c r="AN37">
        <f t="shared" si="23"/>
        <v>0.11457642307753879</v>
      </c>
      <c r="AO37">
        <f t="shared" si="24"/>
        <v>1.6224296024133444E-2</v>
      </c>
      <c r="AP37">
        <f t="shared" si="25"/>
        <v>7.0949872128211355E-2</v>
      </c>
    </row>
    <row r="38" spans="1:42" x14ac:dyDescent="0.25">
      <c r="A38">
        <v>1.9599999999999999E-2</v>
      </c>
      <c r="B38">
        <v>0.74794309346117815</v>
      </c>
      <c r="C38">
        <v>0.69296800726968011</v>
      </c>
      <c r="D38">
        <v>0.52682058741090865</v>
      </c>
      <c r="E38">
        <v>0.66091363256438385</v>
      </c>
      <c r="F38">
        <v>0.73827070289547536</v>
      </c>
      <c r="G38">
        <v>0.58527551691782753</v>
      </c>
      <c r="H38">
        <v>0.60187763855466847</v>
      </c>
      <c r="I38">
        <v>0.73132163767412173</v>
      </c>
      <c r="J38">
        <v>0.65583395317173188</v>
      </c>
      <c r="M38">
        <f t="shared" si="1"/>
        <v>0.87397154673058908</v>
      </c>
      <c r="N38">
        <f t="shared" si="2"/>
        <v>0.84648400363484</v>
      </c>
      <c r="O38">
        <f t="shared" si="3"/>
        <v>0.76341029370545432</v>
      </c>
      <c r="P38">
        <f t="shared" si="4"/>
        <v>0.83045681628219192</v>
      </c>
      <c r="Q38">
        <f t="shared" si="5"/>
        <v>0.86913535144773768</v>
      </c>
      <c r="R38">
        <f t="shared" si="6"/>
        <v>0.79263775845891371</v>
      </c>
      <c r="S38">
        <f t="shared" si="7"/>
        <v>0.80093881927733424</v>
      </c>
      <c r="T38">
        <f t="shared" si="8"/>
        <v>0.86566081883706092</v>
      </c>
      <c r="U38">
        <f t="shared" si="9"/>
        <v>0.82791697658586594</v>
      </c>
      <c r="X38">
        <f t="shared" si="10"/>
        <v>2.7487543095749079E-2</v>
      </c>
      <c r="Y38">
        <f t="shared" si="11"/>
        <v>0.11056125302513475</v>
      </c>
      <c r="Z38">
        <f t="shared" si="12"/>
        <v>4.3514730448397154E-2</v>
      </c>
      <c r="AA38">
        <f t="shared" si="13"/>
        <v>4.8361952828513965E-3</v>
      </c>
      <c r="AB38">
        <f t="shared" si="14"/>
        <v>8.1333788271675367E-2</v>
      </c>
      <c r="AC38">
        <f t="shared" si="15"/>
        <v>7.3032727453254842E-2</v>
      </c>
      <c r="AD38">
        <f t="shared" si="16"/>
        <v>8.3107278935281581E-3</v>
      </c>
      <c r="AE38">
        <f t="shared" si="17"/>
        <v>4.6054570144723139E-2</v>
      </c>
      <c r="AI38">
        <f t="shared" si="18"/>
        <v>5.4975086191498046E-2</v>
      </c>
      <c r="AJ38">
        <f t="shared" si="19"/>
        <v>0.22112250605026951</v>
      </c>
      <c r="AK38">
        <f t="shared" si="20"/>
        <v>8.7029460896794308E-2</v>
      </c>
      <c r="AL38">
        <f t="shared" si="21"/>
        <v>9.6723905657027931E-3</v>
      </c>
      <c r="AM38">
        <f t="shared" si="22"/>
        <v>0.16266757654335062</v>
      </c>
      <c r="AN38">
        <f t="shared" si="23"/>
        <v>0.14606545490650968</v>
      </c>
      <c r="AO38">
        <f t="shared" si="24"/>
        <v>1.6621455787056427E-2</v>
      </c>
      <c r="AP38">
        <f t="shared" si="25"/>
        <v>9.2109140289446279E-2</v>
      </c>
    </row>
    <row r="39" spans="1:42" x14ac:dyDescent="0.25">
      <c r="A39">
        <v>2.2599999999999999E-2</v>
      </c>
      <c r="B39">
        <v>0.74676961566060807</v>
      </c>
      <c r="C39">
        <v>0.68417324382878031</v>
      </c>
      <c r="D39">
        <v>0.51313834421125692</v>
      </c>
      <c r="E39">
        <v>0.65777478908908982</v>
      </c>
      <c r="F39">
        <v>0.71680054180331754</v>
      </c>
      <c r="G39">
        <v>0.60482953155805996</v>
      </c>
      <c r="H39">
        <v>0.57318823959316789</v>
      </c>
      <c r="I39">
        <v>0.73197636164969648</v>
      </c>
      <c r="J39">
        <v>0.6416735387758884</v>
      </c>
      <c r="M39">
        <f t="shared" si="1"/>
        <v>0.87338480783030403</v>
      </c>
      <c r="N39">
        <f t="shared" si="2"/>
        <v>0.8420866219143901</v>
      </c>
      <c r="O39">
        <f t="shared" si="3"/>
        <v>0.75656917210562846</v>
      </c>
      <c r="P39">
        <f t="shared" si="4"/>
        <v>0.82888739454454496</v>
      </c>
      <c r="Q39">
        <f t="shared" si="5"/>
        <v>0.85840027090165871</v>
      </c>
      <c r="R39">
        <f t="shared" si="6"/>
        <v>0.80241476577902993</v>
      </c>
      <c r="S39">
        <f t="shared" si="7"/>
        <v>0.786594119796584</v>
      </c>
      <c r="T39">
        <f t="shared" si="8"/>
        <v>0.86598818082484819</v>
      </c>
      <c r="U39">
        <f t="shared" si="9"/>
        <v>0.82083676938794414</v>
      </c>
      <c r="X39">
        <f t="shared" si="10"/>
        <v>3.1298185915913934E-2</v>
      </c>
      <c r="Y39">
        <f t="shared" si="11"/>
        <v>0.11681563572467557</v>
      </c>
      <c r="Z39">
        <f t="shared" si="12"/>
        <v>4.4497413285759069E-2</v>
      </c>
      <c r="AA39">
        <f t="shared" si="13"/>
        <v>1.498453692864532E-2</v>
      </c>
      <c r="AB39">
        <f t="shared" si="14"/>
        <v>7.0970042051274107E-2</v>
      </c>
      <c r="AC39">
        <f t="shared" si="15"/>
        <v>8.6790688033720031E-2</v>
      </c>
      <c r="AD39">
        <f t="shared" si="16"/>
        <v>7.3966270054558469E-3</v>
      </c>
      <c r="AE39">
        <f t="shared" si="17"/>
        <v>5.254803844235989E-2</v>
      </c>
      <c r="AI39">
        <f t="shared" si="18"/>
        <v>6.2596371831827757E-2</v>
      </c>
      <c r="AJ39">
        <f t="shared" si="19"/>
        <v>0.23363127144935114</v>
      </c>
      <c r="AK39">
        <f t="shared" si="20"/>
        <v>8.8994826571518248E-2</v>
      </c>
      <c r="AL39">
        <f t="shared" si="21"/>
        <v>2.9969073857290529E-2</v>
      </c>
      <c r="AM39">
        <f t="shared" si="22"/>
        <v>0.1419400841025481</v>
      </c>
      <c r="AN39">
        <f t="shared" si="23"/>
        <v>0.17358137606744017</v>
      </c>
      <c r="AO39">
        <f t="shared" si="24"/>
        <v>1.4793254010911583E-2</v>
      </c>
      <c r="AP39">
        <f t="shared" si="25"/>
        <v>0.10509607688471967</v>
      </c>
    </row>
    <row r="40" spans="1:42" x14ac:dyDescent="0.25">
      <c r="A40">
        <v>2.5600000000000001E-2</v>
      </c>
      <c r="B40">
        <v>0.74540716770256699</v>
      </c>
      <c r="C40">
        <v>0.67557745286598336</v>
      </c>
      <c r="D40">
        <v>0.51722685783992584</v>
      </c>
      <c r="E40">
        <v>0.64423232086822413</v>
      </c>
      <c r="F40">
        <v>0.70816711157543455</v>
      </c>
      <c r="G40">
        <v>0.63525538323283415</v>
      </c>
      <c r="H40">
        <v>0.56502003301360171</v>
      </c>
      <c r="I40">
        <v>0.72595825337330566</v>
      </c>
      <c r="J40">
        <v>0.64099946423872778</v>
      </c>
      <c r="M40">
        <f t="shared" si="1"/>
        <v>0.87270358385128355</v>
      </c>
      <c r="N40">
        <f t="shared" si="2"/>
        <v>0.83778872643299174</v>
      </c>
      <c r="O40">
        <f t="shared" si="3"/>
        <v>0.75861342891996286</v>
      </c>
      <c r="P40">
        <f t="shared" si="4"/>
        <v>0.82211616043411206</v>
      </c>
      <c r="Q40">
        <f t="shared" si="5"/>
        <v>0.85408355578771733</v>
      </c>
      <c r="R40">
        <f t="shared" si="6"/>
        <v>0.81762769161641713</v>
      </c>
      <c r="S40">
        <f t="shared" si="7"/>
        <v>0.78251001650680085</v>
      </c>
      <c r="T40">
        <f t="shared" si="8"/>
        <v>0.86297912668665289</v>
      </c>
      <c r="U40">
        <f t="shared" si="9"/>
        <v>0.82049973211936389</v>
      </c>
      <c r="X40">
        <f t="shared" si="10"/>
        <v>3.4914857418291811E-2</v>
      </c>
      <c r="Y40">
        <f t="shared" si="11"/>
        <v>0.11409015493132069</v>
      </c>
      <c r="Z40">
        <f t="shared" si="12"/>
        <v>5.0587423417171484E-2</v>
      </c>
      <c r="AA40">
        <f t="shared" si="13"/>
        <v>1.8620028063566219E-2</v>
      </c>
      <c r="AB40">
        <f t="shared" si="14"/>
        <v>5.5075892234866419E-2</v>
      </c>
      <c r="AC40">
        <f t="shared" si="15"/>
        <v>9.0193567344482695E-2</v>
      </c>
      <c r="AD40">
        <f t="shared" si="16"/>
        <v>9.7244571646306621E-3</v>
      </c>
      <c r="AE40">
        <f t="shared" si="17"/>
        <v>5.2203851731919659E-2</v>
      </c>
      <c r="AI40">
        <f t="shared" si="18"/>
        <v>6.9829714836583623E-2</v>
      </c>
      <c r="AJ40">
        <f t="shared" si="19"/>
        <v>0.22818030986264115</v>
      </c>
      <c r="AK40">
        <f t="shared" si="20"/>
        <v>0.10117484683434286</v>
      </c>
      <c r="AL40">
        <f t="shared" si="21"/>
        <v>3.7240056127132437E-2</v>
      </c>
      <c r="AM40">
        <f t="shared" si="22"/>
        <v>0.11015178446973284</v>
      </c>
      <c r="AN40">
        <f t="shared" si="23"/>
        <v>0.18038713468896528</v>
      </c>
      <c r="AO40">
        <f t="shared" si="24"/>
        <v>1.9448914329261324E-2</v>
      </c>
      <c r="AP40">
        <f t="shared" si="25"/>
        <v>0.10440770346383921</v>
      </c>
    </row>
    <row r="41" spans="1:42" x14ac:dyDescent="0.25">
      <c r="A41">
        <v>2.86E-2</v>
      </c>
      <c r="B41">
        <v>0.7384093539970128</v>
      </c>
      <c r="C41">
        <v>0.66300859087876385</v>
      </c>
      <c r="D41">
        <v>0.50319310558268426</v>
      </c>
      <c r="E41">
        <v>0.64063572299318539</v>
      </c>
      <c r="F41">
        <v>0.69076525707572567</v>
      </c>
      <c r="G41">
        <v>0.64332656752916184</v>
      </c>
      <c r="H41">
        <v>0.54336086811497353</v>
      </c>
      <c r="I41">
        <v>0.72391541605330534</v>
      </c>
      <c r="J41">
        <v>0.62648070823165525</v>
      </c>
      <c r="M41">
        <f t="shared" si="1"/>
        <v>0.86920467699850645</v>
      </c>
      <c r="N41">
        <f t="shared" si="2"/>
        <v>0.83150429543938187</v>
      </c>
      <c r="O41">
        <f t="shared" si="3"/>
        <v>0.75159655279134219</v>
      </c>
      <c r="P41">
        <f t="shared" si="4"/>
        <v>0.82031786149659269</v>
      </c>
      <c r="Q41">
        <f t="shared" si="5"/>
        <v>0.84538262853786283</v>
      </c>
      <c r="R41">
        <f t="shared" si="6"/>
        <v>0.82166328376458098</v>
      </c>
      <c r="S41">
        <f t="shared" si="7"/>
        <v>0.77168043405748676</v>
      </c>
      <c r="T41">
        <f t="shared" si="8"/>
        <v>0.86195770802665272</v>
      </c>
      <c r="U41">
        <f t="shared" si="9"/>
        <v>0.81324035411582762</v>
      </c>
      <c r="X41">
        <f t="shared" si="10"/>
        <v>3.7700381559124585E-2</v>
      </c>
      <c r="Y41">
        <f t="shared" si="11"/>
        <v>0.11760812420716427</v>
      </c>
      <c r="Z41">
        <f t="shared" si="12"/>
        <v>4.8886815501913761E-2</v>
      </c>
      <c r="AA41">
        <f t="shared" si="13"/>
        <v>2.3822048460643619E-2</v>
      </c>
      <c r="AB41">
        <f t="shared" si="14"/>
        <v>4.7541393233925477E-2</v>
      </c>
      <c r="AC41">
        <f t="shared" si="15"/>
        <v>9.752424294101969E-2</v>
      </c>
      <c r="AD41">
        <f t="shared" si="16"/>
        <v>7.2469689718537289E-3</v>
      </c>
      <c r="AE41">
        <f t="shared" si="17"/>
        <v>5.596432288267883E-2</v>
      </c>
      <c r="AI41">
        <f t="shared" si="18"/>
        <v>7.5400763118248948E-2</v>
      </c>
      <c r="AJ41">
        <f t="shared" si="19"/>
        <v>0.23521624841432853</v>
      </c>
      <c r="AK41">
        <f t="shared" si="20"/>
        <v>9.777363100382741E-2</v>
      </c>
      <c r="AL41">
        <f t="shared" si="21"/>
        <v>4.7644096921287127E-2</v>
      </c>
      <c r="AM41">
        <f t="shared" si="22"/>
        <v>9.5082786467850955E-2</v>
      </c>
      <c r="AN41">
        <f t="shared" si="23"/>
        <v>0.19504848588203927</v>
      </c>
      <c r="AO41">
        <f t="shared" si="24"/>
        <v>1.4493937943707458E-2</v>
      </c>
      <c r="AP41">
        <f t="shared" si="25"/>
        <v>0.11192864576535755</v>
      </c>
    </row>
    <row r="42" spans="1:42" x14ac:dyDescent="0.25">
      <c r="A42">
        <v>3.1699999999999999E-2</v>
      </c>
      <c r="B42">
        <v>0.72773220649886861</v>
      </c>
      <c r="C42">
        <v>0.65203901070722292</v>
      </c>
      <c r="D42">
        <v>0.49505751623882288</v>
      </c>
      <c r="E42">
        <v>0.62984984805821354</v>
      </c>
      <c r="F42">
        <v>0.67734701252034968</v>
      </c>
      <c r="G42">
        <v>0.66444296928031155</v>
      </c>
      <c r="H42">
        <v>0.53097233848202008</v>
      </c>
      <c r="I42">
        <v>0.71637506711487997</v>
      </c>
      <c r="J42">
        <v>0.61708990727745305</v>
      </c>
      <c r="K42">
        <f>MIN(C36:J45)</f>
        <v>0.49505751623882288</v>
      </c>
      <c r="M42">
        <f t="shared" si="1"/>
        <v>0.86386610324943436</v>
      </c>
      <c r="N42">
        <f t="shared" si="2"/>
        <v>0.82601950535361146</v>
      </c>
      <c r="O42">
        <f t="shared" si="3"/>
        <v>0.74752875811941144</v>
      </c>
      <c r="P42">
        <f t="shared" si="4"/>
        <v>0.81492492402910677</v>
      </c>
      <c r="Q42">
        <f t="shared" si="5"/>
        <v>0.83867350626017489</v>
      </c>
      <c r="R42">
        <f t="shared" si="6"/>
        <v>0.83222148464015577</v>
      </c>
      <c r="S42">
        <f t="shared" si="7"/>
        <v>0.76548616924100998</v>
      </c>
      <c r="T42">
        <f t="shared" si="8"/>
        <v>0.85818753355744004</v>
      </c>
      <c r="U42">
        <f t="shared" si="9"/>
        <v>0.80854495363872658</v>
      </c>
      <c r="X42">
        <f t="shared" si="10"/>
        <v>3.7846597895822898E-2</v>
      </c>
      <c r="Y42">
        <f t="shared" si="11"/>
        <v>0.11633734513002292</v>
      </c>
      <c r="Z42">
        <f t="shared" si="12"/>
        <v>4.8941179220327591E-2</v>
      </c>
      <c r="AA42">
        <f t="shared" si="13"/>
        <v>2.5192596989259464E-2</v>
      </c>
      <c r="AB42">
        <f t="shared" si="14"/>
        <v>3.1644618609278585E-2</v>
      </c>
      <c r="AC42">
        <f t="shared" si="15"/>
        <v>9.8379934008424375E-2</v>
      </c>
      <c r="AD42">
        <f t="shared" si="16"/>
        <v>5.6785696919943174E-3</v>
      </c>
      <c r="AE42">
        <f t="shared" si="17"/>
        <v>5.5321149610707776E-2</v>
      </c>
      <c r="AI42">
        <f t="shared" si="18"/>
        <v>7.5693195791645684E-2</v>
      </c>
      <c r="AJ42">
        <f t="shared" si="19"/>
        <v>0.23267469026004572</v>
      </c>
      <c r="AK42">
        <f t="shared" si="20"/>
        <v>9.7882358440655071E-2</v>
      </c>
      <c r="AL42">
        <f t="shared" si="21"/>
        <v>5.0385193978518927E-2</v>
      </c>
      <c r="AM42">
        <f t="shared" si="22"/>
        <v>6.328923721855706E-2</v>
      </c>
      <c r="AN42">
        <f t="shared" si="23"/>
        <v>0.19675986801684853</v>
      </c>
      <c r="AO42">
        <f t="shared" si="24"/>
        <v>1.1357139383988635E-2</v>
      </c>
      <c r="AP42">
        <f t="shared" si="25"/>
        <v>0.11064229922141555</v>
      </c>
    </row>
    <row r="43" spans="1:42" x14ac:dyDescent="0.25">
      <c r="A43">
        <v>3.4700000000000002E-2</v>
      </c>
      <c r="B43">
        <v>0.73489383459634328</v>
      </c>
      <c r="C43">
        <v>0.6608578145708941</v>
      </c>
      <c r="D43">
        <v>0.4950635385082931</v>
      </c>
      <c r="E43">
        <v>0.63998726985594356</v>
      </c>
      <c r="F43">
        <v>0.67579284286153818</v>
      </c>
      <c r="G43">
        <v>0.66627039662699983</v>
      </c>
      <c r="H43">
        <v>0.52710251616347692</v>
      </c>
      <c r="I43">
        <v>0.7271882055610952</v>
      </c>
      <c r="J43">
        <v>0.62043339554527333</v>
      </c>
      <c r="K43">
        <f>MAX(C36:J45)</f>
        <v>0.74942446361679815</v>
      </c>
      <c r="M43">
        <f t="shared" si="1"/>
        <v>0.86744691729817158</v>
      </c>
      <c r="N43">
        <f t="shared" si="2"/>
        <v>0.83042890728544705</v>
      </c>
      <c r="O43">
        <f t="shared" si="3"/>
        <v>0.74753176925414655</v>
      </c>
      <c r="P43">
        <f t="shared" si="4"/>
        <v>0.81999363492797173</v>
      </c>
      <c r="Q43">
        <f t="shared" si="5"/>
        <v>0.83789642143076914</v>
      </c>
      <c r="R43">
        <f t="shared" si="6"/>
        <v>0.83313519831349991</v>
      </c>
      <c r="S43">
        <f t="shared" si="7"/>
        <v>0.76355125808173852</v>
      </c>
      <c r="T43">
        <f t="shared" si="8"/>
        <v>0.8635941027805476</v>
      </c>
      <c r="U43">
        <f t="shared" si="9"/>
        <v>0.81021669777263661</v>
      </c>
      <c r="X43">
        <f t="shared" si="10"/>
        <v>3.7018010012724534E-2</v>
      </c>
      <c r="Y43">
        <f t="shared" si="11"/>
        <v>0.11991514804402503</v>
      </c>
      <c r="Z43">
        <f t="shared" si="12"/>
        <v>4.7453282370199856E-2</v>
      </c>
      <c r="AA43">
        <f t="shared" si="13"/>
        <v>2.9550495867402438E-2</v>
      </c>
      <c r="AB43">
        <f t="shared" si="14"/>
        <v>3.4311718984671669E-2</v>
      </c>
      <c r="AC43">
        <f t="shared" si="15"/>
        <v>0.10389565921643307</v>
      </c>
      <c r="AD43">
        <f t="shared" si="16"/>
        <v>3.8528145176239814E-3</v>
      </c>
      <c r="AE43">
        <f t="shared" si="17"/>
        <v>5.7230219525534975E-2</v>
      </c>
      <c r="AI43">
        <f t="shared" si="18"/>
        <v>7.4036020025449178E-2</v>
      </c>
      <c r="AJ43">
        <f t="shared" si="19"/>
        <v>0.23983029608805018</v>
      </c>
      <c r="AK43">
        <f t="shared" si="20"/>
        <v>9.4906564740399713E-2</v>
      </c>
      <c r="AL43">
        <f t="shared" si="21"/>
        <v>5.9100991734805097E-2</v>
      </c>
      <c r="AM43">
        <f t="shared" si="22"/>
        <v>6.8623437969343448E-2</v>
      </c>
      <c r="AN43">
        <f t="shared" si="23"/>
        <v>0.20779131843286636</v>
      </c>
      <c r="AO43">
        <f t="shared" si="24"/>
        <v>7.7056290352480739E-3</v>
      </c>
      <c r="AP43">
        <f t="shared" si="25"/>
        <v>0.11446043905106995</v>
      </c>
    </row>
    <row r="44" spans="1:42" x14ac:dyDescent="0.25">
      <c r="A44">
        <v>3.7699999999999997E-2</v>
      </c>
      <c r="B44">
        <v>0.74177466410043613</v>
      </c>
      <c r="C44">
        <v>0.67266395619136921</v>
      </c>
      <c r="D44">
        <v>0.49797283734731251</v>
      </c>
      <c r="E44">
        <v>0.65164877647071173</v>
      </c>
      <c r="F44">
        <v>0.6925107820890728</v>
      </c>
      <c r="G44">
        <v>0.66314699141898392</v>
      </c>
      <c r="H44">
        <v>0.53873655865741421</v>
      </c>
      <c r="I44">
        <v>0.7387678139172531</v>
      </c>
      <c r="J44">
        <v>0.62866024594818704</v>
      </c>
      <c r="M44">
        <f t="shared" si="1"/>
        <v>0.87088733205021807</v>
      </c>
      <c r="N44">
        <f t="shared" si="2"/>
        <v>0.8363319780956846</v>
      </c>
      <c r="O44">
        <f t="shared" si="3"/>
        <v>0.74898641867365623</v>
      </c>
      <c r="P44">
        <f t="shared" si="4"/>
        <v>0.82582438823535587</v>
      </c>
      <c r="Q44">
        <f t="shared" si="5"/>
        <v>0.8462553910445364</v>
      </c>
      <c r="R44">
        <f t="shared" si="6"/>
        <v>0.83157349570949202</v>
      </c>
      <c r="S44">
        <f t="shared" si="7"/>
        <v>0.76936827932870711</v>
      </c>
      <c r="T44">
        <f t="shared" si="8"/>
        <v>0.86938390695862655</v>
      </c>
      <c r="U44">
        <f t="shared" si="9"/>
        <v>0.81433012297409357</v>
      </c>
      <c r="X44">
        <f t="shared" si="10"/>
        <v>3.4555353954533463E-2</v>
      </c>
      <c r="Y44">
        <f t="shared" si="11"/>
        <v>0.12190091337656184</v>
      </c>
      <c r="Z44">
        <f t="shared" si="12"/>
        <v>4.50629438148622E-2</v>
      </c>
      <c r="AA44">
        <f t="shared" si="13"/>
        <v>2.4631941005681668E-2</v>
      </c>
      <c r="AB44">
        <f t="shared" si="14"/>
        <v>3.9313836340726049E-2</v>
      </c>
      <c r="AC44">
        <f t="shared" si="15"/>
        <v>0.10151905272151096</v>
      </c>
      <c r="AD44">
        <f t="shared" si="16"/>
        <v>1.5034250915915148E-3</v>
      </c>
      <c r="AE44">
        <f t="shared" si="17"/>
        <v>5.6557209076124493E-2</v>
      </c>
      <c r="AI44">
        <f t="shared" si="18"/>
        <v>6.9110707909066926E-2</v>
      </c>
      <c r="AJ44">
        <f t="shared" si="19"/>
        <v>0.24380182675312362</v>
      </c>
      <c r="AK44">
        <f t="shared" si="20"/>
        <v>9.0125887629724399E-2</v>
      </c>
      <c r="AL44">
        <f t="shared" si="21"/>
        <v>4.9263882011363336E-2</v>
      </c>
      <c r="AM44">
        <f t="shared" si="22"/>
        <v>7.862767268145221E-2</v>
      </c>
      <c r="AN44">
        <f t="shared" si="23"/>
        <v>0.20303810544302192</v>
      </c>
      <c r="AO44">
        <f t="shared" si="24"/>
        <v>3.0068501831830297E-3</v>
      </c>
      <c r="AP44">
        <f t="shared" si="25"/>
        <v>0.1131144181522491</v>
      </c>
    </row>
    <row r="45" spans="1:42" x14ac:dyDescent="0.25">
      <c r="A45">
        <v>4.07E-2</v>
      </c>
      <c r="B45">
        <v>0.7529265579511949</v>
      </c>
      <c r="C45">
        <v>0.68305856889177874</v>
      </c>
      <c r="D45">
        <v>0.5052549167334458</v>
      </c>
      <c r="E45">
        <v>0.66194861935588378</v>
      </c>
      <c r="F45">
        <v>0.70106026512734532</v>
      </c>
      <c r="G45">
        <v>0.65522410796800035</v>
      </c>
      <c r="H45">
        <v>0.54286626650241487</v>
      </c>
      <c r="I45">
        <v>0.74942446361679815</v>
      </c>
      <c r="J45">
        <v>0.63519600401384102</v>
      </c>
      <c r="M45">
        <f t="shared" si="1"/>
        <v>0.8764632789755975</v>
      </c>
      <c r="N45">
        <f t="shared" si="2"/>
        <v>0.84152928444588937</v>
      </c>
      <c r="O45">
        <f t="shared" si="3"/>
        <v>0.75262745836672296</v>
      </c>
      <c r="P45">
        <f t="shared" si="4"/>
        <v>0.83097430967794184</v>
      </c>
      <c r="Q45">
        <f t="shared" si="5"/>
        <v>0.85053013256367271</v>
      </c>
      <c r="R45">
        <f t="shared" si="6"/>
        <v>0.82761205398400017</v>
      </c>
      <c r="S45">
        <f t="shared" si="7"/>
        <v>0.77143313325120744</v>
      </c>
      <c r="T45">
        <f t="shared" si="8"/>
        <v>0.87471223180839908</v>
      </c>
      <c r="U45">
        <f t="shared" si="9"/>
        <v>0.81759800200692045</v>
      </c>
      <c r="X45">
        <f t="shared" si="10"/>
        <v>3.4933994529708134E-2</v>
      </c>
      <c r="Y45">
        <f t="shared" si="11"/>
        <v>0.12383582060887455</v>
      </c>
      <c r="Z45">
        <f t="shared" si="12"/>
        <v>4.5488969297655668E-2</v>
      </c>
      <c r="AA45">
        <f t="shared" si="13"/>
        <v>2.593314641192479E-2</v>
      </c>
      <c r="AB45">
        <f t="shared" si="14"/>
        <v>4.8851224991597331E-2</v>
      </c>
      <c r="AC45">
        <f t="shared" si="15"/>
        <v>0.10503014572439007</v>
      </c>
      <c r="AD45">
        <f t="shared" si="16"/>
        <v>1.7510471671984273E-3</v>
      </c>
      <c r="AE45">
        <f t="shared" si="17"/>
        <v>5.8865276968677049E-2</v>
      </c>
      <c r="AF45">
        <f>COUNT(X36:X45)</f>
        <v>10</v>
      </c>
      <c r="AI45">
        <f t="shared" si="18"/>
        <v>6.9867989059416158E-2</v>
      </c>
      <c r="AJ45">
        <f t="shared" si="19"/>
        <v>0.24767164121774909</v>
      </c>
      <c r="AK45">
        <f t="shared" si="20"/>
        <v>9.0977938595311114E-2</v>
      </c>
      <c r="AL45">
        <f t="shared" si="21"/>
        <v>5.186629282384958E-2</v>
      </c>
      <c r="AM45">
        <f t="shared" si="22"/>
        <v>9.770244998319455E-2</v>
      </c>
      <c r="AN45">
        <f t="shared" si="23"/>
        <v>0.21006029144878002</v>
      </c>
      <c r="AO45">
        <f t="shared" si="24"/>
        <v>3.5020943343967437E-3</v>
      </c>
      <c r="AP45">
        <f t="shared" si="25"/>
        <v>0.11773055393735388</v>
      </c>
    </row>
    <row r="46" spans="1:42" s="10" customFormat="1" x14ac:dyDescent="0.25">
      <c r="A46" s="10" t="s">
        <v>74</v>
      </c>
      <c r="M46" s="10">
        <f>AVERAGE(M36:M45)</f>
        <v>0.86886346782420332</v>
      </c>
      <c r="N46" s="10">
        <f t="shared" ref="N46" si="36">AVERAGE(N36:N45)</f>
        <v>0.83820027404847153</v>
      </c>
      <c r="O46" s="10">
        <f t="shared" ref="O46" si="37">AVERAGE(O36:O45)</f>
        <v>0.75567616445607388</v>
      </c>
      <c r="P46" s="10">
        <f t="shared" ref="P46" si="38">AVERAGE(P36:P45)</f>
        <v>0.82409608204743423</v>
      </c>
      <c r="Q46" s="10">
        <f t="shared" ref="Q46" si="39">AVERAGE(Q36:Q45)</f>
        <v>0.85399350473548519</v>
      </c>
      <c r="R46" s="10">
        <f t="shared" ref="R46" si="40">AVERAGE(R36:R45)</f>
        <v>0.81052475676727376</v>
      </c>
      <c r="S46" s="10">
        <f t="shared" ref="S46" si="41">AVERAGE(S36:S45)</f>
        <v>0.7830209145770084</v>
      </c>
      <c r="T46" s="10">
        <f t="shared" ref="T46" si="42">AVERAGE(T36:T45)</f>
        <v>0.86281634226438597</v>
      </c>
      <c r="U46" s="10">
        <f t="shared" ref="U46" si="43">AVERAGE(U36:U45)</f>
        <v>0.81884567247394668</v>
      </c>
      <c r="X46" s="10">
        <f>((M46-N46)/N46)*100</f>
        <v>3.6582180566023768</v>
      </c>
      <c r="Y46" s="10">
        <f>((M46-O46)/O46)*100</f>
        <v>14.978281530104926</v>
      </c>
      <c r="Z46" s="10">
        <f>((M46-P46)/P46)*100</f>
        <v>5.4323017366550612</v>
      </c>
      <c r="AA46" s="10">
        <f>((M46-Q46)/Q46)*100</f>
        <v>1.7412267196720579</v>
      </c>
      <c r="AB46" s="10">
        <f>((M46-R46)/R46)*100</f>
        <v>7.1976470267990065</v>
      </c>
      <c r="AC46" s="10">
        <f>((M46-S46)/S46)*100</f>
        <v>10.962996217485133</v>
      </c>
      <c r="AD46" s="10">
        <f>((M46-T46)/T46)*100</f>
        <v>0.70085895034709167</v>
      </c>
      <c r="AE46" s="10">
        <f>((M46-U46)/U46)*100</f>
        <v>6.1083299370856787</v>
      </c>
      <c r="AI46" s="10">
        <f t="shared" si="18"/>
        <v>0</v>
      </c>
      <c r="AJ46" s="10">
        <f t="shared" si="19"/>
        <v>0</v>
      </c>
      <c r="AK46" s="10">
        <f t="shared" si="20"/>
        <v>0</v>
      </c>
      <c r="AL46" s="10">
        <f t="shared" si="21"/>
        <v>0</v>
      </c>
      <c r="AM46" s="10">
        <f t="shared" si="22"/>
        <v>0</v>
      </c>
      <c r="AN46" s="10">
        <f t="shared" si="23"/>
        <v>0</v>
      </c>
      <c r="AO46" s="10">
        <f t="shared" si="24"/>
        <v>0</v>
      </c>
      <c r="AP46" s="10">
        <f t="shared" si="25"/>
        <v>0</v>
      </c>
    </row>
    <row r="47" spans="1:42" x14ac:dyDescent="0.25">
      <c r="A47">
        <v>2.0999999999999999E-3</v>
      </c>
      <c r="B47">
        <v>0.71604041402950813</v>
      </c>
      <c r="C47">
        <v>0.71183491785402109</v>
      </c>
      <c r="D47">
        <v>0.68506605216322325</v>
      </c>
      <c r="E47">
        <v>0.71387596148057586</v>
      </c>
      <c r="F47">
        <v>0.71388143760063105</v>
      </c>
      <c r="G47">
        <v>0.7097979270673781</v>
      </c>
      <c r="H47">
        <v>0.71149541938958061</v>
      </c>
      <c r="I47">
        <v>0.70956027814226974</v>
      </c>
      <c r="J47">
        <v>0.70821925920772966</v>
      </c>
      <c r="M47">
        <f t="shared" si="1"/>
        <v>0.85802020701475401</v>
      </c>
      <c r="N47">
        <f t="shared" si="2"/>
        <v>0.85591745892701054</v>
      </c>
      <c r="O47">
        <f t="shared" si="3"/>
        <v>0.84253302608161162</v>
      </c>
      <c r="P47">
        <f t="shared" si="4"/>
        <v>0.85693798074028793</v>
      </c>
      <c r="Q47">
        <f t="shared" si="5"/>
        <v>0.85694071880031553</v>
      </c>
      <c r="R47">
        <f t="shared" si="6"/>
        <v>0.85489896353368899</v>
      </c>
      <c r="S47">
        <f t="shared" si="7"/>
        <v>0.8557477096947903</v>
      </c>
      <c r="T47">
        <f t="shared" si="8"/>
        <v>0.85478013907113493</v>
      </c>
      <c r="U47">
        <f t="shared" si="9"/>
        <v>0.85410962960386483</v>
      </c>
      <c r="X47">
        <f t="shared" si="10"/>
        <v>2.1027480877434668E-3</v>
      </c>
      <c r="Y47">
        <f t="shared" si="11"/>
        <v>1.5487180933142386E-2</v>
      </c>
      <c r="Z47">
        <f t="shared" si="12"/>
        <v>1.0822262744660804E-3</v>
      </c>
      <c r="AA47">
        <f t="shared" si="13"/>
        <v>1.0794882144384843E-3</v>
      </c>
      <c r="AB47">
        <f t="shared" si="14"/>
        <v>3.1212434810650169E-3</v>
      </c>
      <c r="AC47">
        <f t="shared" si="15"/>
        <v>2.2724973199637066E-3</v>
      </c>
      <c r="AD47">
        <f t="shared" si="16"/>
        <v>3.2400679436190849E-3</v>
      </c>
      <c r="AE47">
        <f t="shared" si="17"/>
        <v>3.9105774108891822E-3</v>
      </c>
      <c r="AI47">
        <f t="shared" si="18"/>
        <v>4.2054961754870446E-3</v>
      </c>
      <c r="AJ47">
        <f t="shared" si="19"/>
        <v>3.0974361866284883E-2</v>
      </c>
      <c r="AK47">
        <f t="shared" si="20"/>
        <v>2.1644525489322719E-3</v>
      </c>
      <c r="AL47">
        <f t="shared" si="21"/>
        <v>2.1589764288770796E-3</v>
      </c>
      <c r="AM47">
        <f t="shared" si="22"/>
        <v>6.2424869621300338E-3</v>
      </c>
      <c r="AN47">
        <f t="shared" si="23"/>
        <v>4.5449946399275243E-3</v>
      </c>
      <c r="AO47">
        <f t="shared" si="24"/>
        <v>6.4801358872383918E-3</v>
      </c>
      <c r="AP47">
        <f t="shared" si="25"/>
        <v>7.8211548217784754E-3</v>
      </c>
    </row>
    <row r="48" spans="1:42" x14ac:dyDescent="0.25">
      <c r="A48">
        <v>2.5999999999999999E-3</v>
      </c>
      <c r="B48">
        <v>0.72125640669995306</v>
      </c>
      <c r="C48">
        <v>0.71491328317723513</v>
      </c>
      <c r="D48">
        <v>0.68233878438659645</v>
      </c>
      <c r="E48">
        <v>0.7179868703995117</v>
      </c>
      <c r="F48">
        <v>0.71798382482375622</v>
      </c>
      <c r="G48">
        <v>0.71535394425762833</v>
      </c>
      <c r="H48">
        <v>0.71409975502881673</v>
      </c>
      <c r="I48">
        <v>0.7154725837792727</v>
      </c>
      <c r="J48">
        <v>0.70925248314449096</v>
      </c>
      <c r="M48">
        <f t="shared" si="1"/>
        <v>0.86062820334997658</v>
      </c>
      <c r="N48">
        <f t="shared" si="2"/>
        <v>0.85745664158861756</v>
      </c>
      <c r="O48">
        <f t="shared" si="3"/>
        <v>0.84116939219329823</v>
      </c>
      <c r="P48">
        <f t="shared" si="4"/>
        <v>0.85899343519975591</v>
      </c>
      <c r="Q48">
        <f t="shared" si="5"/>
        <v>0.85899191241187811</v>
      </c>
      <c r="R48">
        <f t="shared" si="6"/>
        <v>0.85767697212881422</v>
      </c>
      <c r="S48">
        <f t="shared" si="7"/>
        <v>0.85704987751440842</v>
      </c>
      <c r="T48">
        <f t="shared" si="8"/>
        <v>0.85773629188963629</v>
      </c>
      <c r="U48">
        <f t="shared" si="9"/>
        <v>0.85462624157224543</v>
      </c>
      <c r="X48">
        <f t="shared" si="10"/>
        <v>3.1715617613590208E-3</v>
      </c>
      <c r="Y48">
        <f t="shared" si="11"/>
        <v>1.9458811156678357E-2</v>
      </c>
      <c r="Z48">
        <f t="shared" si="12"/>
        <v>1.6347681502206779E-3</v>
      </c>
      <c r="AA48">
        <f t="shared" si="13"/>
        <v>1.6362909380984725E-3</v>
      </c>
      <c r="AB48">
        <f t="shared" si="14"/>
        <v>2.9512312211623648E-3</v>
      </c>
      <c r="AC48">
        <f t="shared" si="15"/>
        <v>3.5783258355681635E-3</v>
      </c>
      <c r="AD48">
        <f t="shared" si="16"/>
        <v>2.8919114603402907E-3</v>
      </c>
      <c r="AE48">
        <f t="shared" si="17"/>
        <v>6.0019617777311574E-3</v>
      </c>
      <c r="AI48">
        <f t="shared" si="18"/>
        <v>6.3431235227179306E-3</v>
      </c>
      <c r="AJ48">
        <f t="shared" si="19"/>
        <v>3.8917622313356603E-2</v>
      </c>
      <c r="AK48">
        <f t="shared" si="20"/>
        <v>3.2695363004413558E-3</v>
      </c>
      <c r="AL48">
        <f t="shared" si="21"/>
        <v>3.2725818761968339E-3</v>
      </c>
      <c r="AM48">
        <f t="shared" si="22"/>
        <v>5.9024624423247296E-3</v>
      </c>
      <c r="AN48">
        <f t="shared" si="23"/>
        <v>7.1566516711363271E-3</v>
      </c>
      <c r="AO48">
        <f t="shared" si="24"/>
        <v>5.7838229206803593E-3</v>
      </c>
      <c r="AP48">
        <f t="shared" si="25"/>
        <v>1.2003923555462093E-2</v>
      </c>
    </row>
    <row r="49" spans="1:42" x14ac:dyDescent="0.25">
      <c r="A49">
        <v>3.0000000000000001E-3</v>
      </c>
      <c r="B49">
        <v>0.70571706581926053</v>
      </c>
      <c r="C49">
        <v>0.69307512760979306</v>
      </c>
      <c r="D49">
        <v>0.65840281404705514</v>
      </c>
      <c r="E49">
        <v>0.69694324511596928</v>
      </c>
      <c r="F49">
        <v>0.69696573355744496</v>
      </c>
      <c r="G49">
        <v>0.69981313463957429</v>
      </c>
      <c r="H49">
        <v>0.69217785531688247</v>
      </c>
      <c r="I49">
        <v>0.69861112836039219</v>
      </c>
      <c r="J49">
        <v>0.68725132253882637</v>
      </c>
      <c r="M49">
        <f t="shared" si="1"/>
        <v>0.85285853290963032</v>
      </c>
      <c r="N49">
        <f t="shared" si="2"/>
        <v>0.84653756380489653</v>
      </c>
      <c r="O49">
        <f t="shared" si="3"/>
        <v>0.82920140702352763</v>
      </c>
      <c r="P49">
        <f t="shared" si="4"/>
        <v>0.84847162255798469</v>
      </c>
      <c r="Q49">
        <f t="shared" si="5"/>
        <v>0.84848286677872253</v>
      </c>
      <c r="R49">
        <f t="shared" si="6"/>
        <v>0.8499065673197872</v>
      </c>
      <c r="S49">
        <f t="shared" si="7"/>
        <v>0.84608892765844124</v>
      </c>
      <c r="T49">
        <f t="shared" si="8"/>
        <v>0.84930556418019609</v>
      </c>
      <c r="U49">
        <f t="shared" si="9"/>
        <v>0.84362566126941319</v>
      </c>
      <c r="X49">
        <f t="shared" si="10"/>
        <v>6.3209691047337868E-3</v>
      </c>
      <c r="Y49">
        <f t="shared" si="11"/>
        <v>2.3657125886102692E-2</v>
      </c>
      <c r="Z49">
        <f t="shared" si="12"/>
        <v>4.3869103516456232E-3</v>
      </c>
      <c r="AA49">
        <f t="shared" si="13"/>
        <v>4.3756661309077849E-3</v>
      </c>
      <c r="AB49">
        <f t="shared" si="14"/>
        <v>2.9519655898431196E-3</v>
      </c>
      <c r="AC49">
        <f t="shared" si="15"/>
        <v>6.7696052511890814E-3</v>
      </c>
      <c r="AD49">
        <f t="shared" si="16"/>
        <v>3.5529687294342249E-3</v>
      </c>
      <c r="AE49">
        <f t="shared" si="17"/>
        <v>9.2328716402171329E-3</v>
      </c>
      <c r="AI49">
        <f t="shared" si="18"/>
        <v>1.2641938209467463E-2</v>
      </c>
      <c r="AJ49">
        <f t="shared" si="19"/>
        <v>4.7314251772205385E-2</v>
      </c>
      <c r="AK49">
        <f t="shared" si="20"/>
        <v>8.7738207032912463E-3</v>
      </c>
      <c r="AL49">
        <f t="shared" si="21"/>
        <v>8.7513322618155698E-3</v>
      </c>
      <c r="AM49">
        <f t="shared" si="22"/>
        <v>5.9039311796862393E-3</v>
      </c>
      <c r="AN49">
        <f t="shared" si="23"/>
        <v>1.3539210502378052E-2</v>
      </c>
      <c r="AO49">
        <f t="shared" si="24"/>
        <v>7.1059374588683388E-3</v>
      </c>
      <c r="AP49">
        <f t="shared" si="25"/>
        <v>1.8465743280434155E-2</v>
      </c>
    </row>
    <row r="50" spans="1:42" x14ac:dyDescent="0.25">
      <c r="A50">
        <v>3.5000000000000001E-3</v>
      </c>
      <c r="B50">
        <v>0.69439755266606229</v>
      </c>
      <c r="C50">
        <v>0.68184750155867646</v>
      </c>
      <c r="D50">
        <v>0.65182175974690826</v>
      </c>
      <c r="E50">
        <v>0.68552243995023088</v>
      </c>
      <c r="F50">
        <v>0.68554496282398647</v>
      </c>
      <c r="G50">
        <v>0.68524849039950508</v>
      </c>
      <c r="H50">
        <v>0.68162753710628443</v>
      </c>
      <c r="I50">
        <v>0.6851638886870467</v>
      </c>
      <c r="J50">
        <v>0.67663603607123746</v>
      </c>
      <c r="M50">
        <f t="shared" si="1"/>
        <v>0.84719877633303109</v>
      </c>
      <c r="N50">
        <f t="shared" si="2"/>
        <v>0.84092375077933823</v>
      </c>
      <c r="O50">
        <f t="shared" si="3"/>
        <v>0.82591087987345413</v>
      </c>
      <c r="P50">
        <f t="shared" si="4"/>
        <v>0.84276121997511544</v>
      </c>
      <c r="Q50">
        <f t="shared" si="5"/>
        <v>0.84277248141199324</v>
      </c>
      <c r="R50">
        <f t="shared" si="6"/>
        <v>0.84262424519975254</v>
      </c>
      <c r="S50">
        <f t="shared" si="7"/>
        <v>0.84081376855314227</v>
      </c>
      <c r="T50">
        <f t="shared" si="8"/>
        <v>0.8425819443435234</v>
      </c>
      <c r="U50">
        <f t="shared" si="9"/>
        <v>0.83831801803561867</v>
      </c>
      <c r="X50">
        <f t="shared" si="10"/>
        <v>6.275025553692859E-3</v>
      </c>
      <c r="Y50">
        <f t="shared" si="11"/>
        <v>2.128789645957696E-2</v>
      </c>
      <c r="Z50">
        <f t="shared" si="12"/>
        <v>4.4375563579156507E-3</v>
      </c>
      <c r="AA50">
        <f t="shared" si="13"/>
        <v>4.4262949210378544E-3</v>
      </c>
      <c r="AB50">
        <f t="shared" si="14"/>
        <v>4.5745311332785477E-3</v>
      </c>
      <c r="AC50">
        <f t="shared" si="15"/>
        <v>6.3850077798888183E-3</v>
      </c>
      <c r="AD50">
        <f t="shared" si="16"/>
        <v>4.6168319895076859E-3</v>
      </c>
      <c r="AE50">
        <f t="shared" si="17"/>
        <v>8.8807582974124166E-3</v>
      </c>
      <c r="AI50">
        <f t="shared" si="18"/>
        <v>1.2550051107385829E-2</v>
      </c>
      <c r="AJ50">
        <f t="shared" si="19"/>
        <v>4.2575792919154032E-2</v>
      </c>
      <c r="AK50">
        <f t="shared" si="20"/>
        <v>8.8751127158314125E-3</v>
      </c>
      <c r="AL50">
        <f t="shared" si="21"/>
        <v>8.8525898420758198E-3</v>
      </c>
      <c r="AM50">
        <f t="shared" si="22"/>
        <v>9.1490622665572063E-3</v>
      </c>
      <c r="AN50">
        <f t="shared" si="23"/>
        <v>1.2770015559777859E-2</v>
      </c>
      <c r="AO50">
        <f t="shared" si="24"/>
        <v>9.2336639790155939E-3</v>
      </c>
      <c r="AP50">
        <f t="shared" si="25"/>
        <v>1.7761516594824833E-2</v>
      </c>
    </row>
    <row r="51" spans="1:42" x14ac:dyDescent="0.25">
      <c r="A51">
        <v>3.8999999999999998E-3</v>
      </c>
      <c r="B51">
        <v>0.69572110576666391</v>
      </c>
      <c r="C51">
        <v>0.67306271517137672</v>
      </c>
      <c r="D51">
        <v>0.6364114583477708</v>
      </c>
      <c r="E51">
        <v>0.67661752102516681</v>
      </c>
      <c r="F51">
        <v>0.67662312407764424</v>
      </c>
      <c r="G51">
        <v>0.68564585569021042</v>
      </c>
      <c r="H51">
        <v>0.67118539178751846</v>
      </c>
      <c r="I51">
        <v>0.68449578370730624</v>
      </c>
      <c r="J51">
        <v>0.66579020116183574</v>
      </c>
      <c r="M51">
        <f t="shared" si="1"/>
        <v>0.84786055288333195</v>
      </c>
      <c r="N51">
        <f t="shared" si="2"/>
        <v>0.83653135758568831</v>
      </c>
      <c r="O51">
        <f t="shared" si="3"/>
        <v>0.81820572917388534</v>
      </c>
      <c r="P51">
        <f t="shared" si="4"/>
        <v>0.83830876051258341</v>
      </c>
      <c r="Q51">
        <f t="shared" si="5"/>
        <v>0.83831156203882218</v>
      </c>
      <c r="R51">
        <f t="shared" si="6"/>
        <v>0.84282292784510515</v>
      </c>
      <c r="S51">
        <f t="shared" si="7"/>
        <v>0.83559269589375917</v>
      </c>
      <c r="T51">
        <f t="shared" si="8"/>
        <v>0.84224789185365312</v>
      </c>
      <c r="U51">
        <f t="shared" si="9"/>
        <v>0.83289510058091787</v>
      </c>
      <c r="X51">
        <f t="shared" si="10"/>
        <v>1.1329195297643646E-2</v>
      </c>
      <c r="Y51">
        <f t="shared" si="11"/>
        <v>2.9654823709446609E-2</v>
      </c>
      <c r="Z51">
        <f t="shared" si="12"/>
        <v>9.5517923707485464E-3</v>
      </c>
      <c r="AA51">
        <f t="shared" si="13"/>
        <v>9.5489908445097749E-3</v>
      </c>
      <c r="AB51">
        <f t="shared" si="14"/>
        <v>5.0376250382268006E-3</v>
      </c>
      <c r="AC51">
        <f t="shared" si="15"/>
        <v>1.2267856989572778E-2</v>
      </c>
      <c r="AD51">
        <f t="shared" si="16"/>
        <v>5.6126610296788337E-3</v>
      </c>
      <c r="AE51">
        <f t="shared" si="17"/>
        <v>1.4965452302414084E-2</v>
      </c>
      <c r="AI51">
        <f t="shared" si="18"/>
        <v>2.2658390595287181E-2</v>
      </c>
      <c r="AJ51">
        <f t="shared" si="19"/>
        <v>5.9309647418893108E-2</v>
      </c>
      <c r="AK51">
        <f t="shared" si="20"/>
        <v>1.9103584741497093E-2</v>
      </c>
      <c r="AL51">
        <f t="shared" si="21"/>
        <v>1.9097981689019661E-2</v>
      </c>
      <c r="AM51">
        <f t="shared" si="22"/>
        <v>1.007525007645349E-2</v>
      </c>
      <c r="AN51">
        <f t="shared" si="23"/>
        <v>2.4535713979145446E-2</v>
      </c>
      <c r="AO51">
        <f t="shared" si="24"/>
        <v>1.1225322059357667E-2</v>
      </c>
      <c r="AP51">
        <f t="shared" si="25"/>
        <v>2.9930904604828168E-2</v>
      </c>
    </row>
    <row r="52" spans="1:42" x14ac:dyDescent="0.25">
      <c r="A52">
        <v>4.4000000000000003E-3</v>
      </c>
      <c r="B52">
        <v>0.68007766301356587</v>
      </c>
      <c r="C52">
        <v>0.66285406448160067</v>
      </c>
      <c r="D52">
        <v>0.62964611685237781</v>
      </c>
      <c r="E52">
        <v>0.66546464717073661</v>
      </c>
      <c r="F52">
        <v>0.6653855896098112</v>
      </c>
      <c r="G52">
        <v>0.67139240325809857</v>
      </c>
      <c r="H52">
        <v>0.66075752189093584</v>
      </c>
      <c r="I52">
        <v>0.67086826761043228</v>
      </c>
      <c r="J52">
        <v>0.65708857235727247</v>
      </c>
      <c r="M52">
        <f t="shared" si="1"/>
        <v>0.84003883150678293</v>
      </c>
      <c r="N52">
        <f t="shared" si="2"/>
        <v>0.83142703224080039</v>
      </c>
      <c r="O52">
        <f t="shared" si="3"/>
        <v>0.81482305842618885</v>
      </c>
      <c r="P52">
        <f t="shared" si="4"/>
        <v>0.83273232358536831</v>
      </c>
      <c r="Q52">
        <f t="shared" si="5"/>
        <v>0.83269279480490566</v>
      </c>
      <c r="R52">
        <f t="shared" si="6"/>
        <v>0.83569620162904923</v>
      </c>
      <c r="S52">
        <f t="shared" si="7"/>
        <v>0.83037876094546792</v>
      </c>
      <c r="T52">
        <f t="shared" si="8"/>
        <v>0.83543413380521614</v>
      </c>
      <c r="U52">
        <f t="shared" si="9"/>
        <v>0.82854428617863629</v>
      </c>
      <c r="X52">
        <f t="shared" si="10"/>
        <v>8.6117992659825449E-3</v>
      </c>
      <c r="Y52">
        <f t="shared" si="11"/>
        <v>2.5215773080594084E-2</v>
      </c>
      <c r="Z52">
        <f t="shared" si="12"/>
        <v>7.3065079214146289E-3</v>
      </c>
      <c r="AA52">
        <f t="shared" si="13"/>
        <v>7.3460367018772788E-3</v>
      </c>
      <c r="AB52">
        <f t="shared" si="14"/>
        <v>4.3426298777337058E-3</v>
      </c>
      <c r="AC52">
        <f t="shared" si="15"/>
        <v>9.6600705613150151E-3</v>
      </c>
      <c r="AD52">
        <f t="shared" si="16"/>
        <v>4.6046977015667956E-3</v>
      </c>
      <c r="AE52">
        <f t="shared" si="17"/>
        <v>1.1494545328146644E-2</v>
      </c>
      <c r="AI52">
        <f t="shared" si="18"/>
        <v>1.7223598531965201E-2</v>
      </c>
      <c r="AJ52">
        <f t="shared" si="19"/>
        <v>5.0431546161188057E-2</v>
      </c>
      <c r="AK52">
        <f t="shared" si="20"/>
        <v>1.4613015842829258E-2</v>
      </c>
      <c r="AL52">
        <f t="shared" si="21"/>
        <v>1.4692073403754669E-2</v>
      </c>
      <c r="AM52">
        <f t="shared" si="22"/>
        <v>8.6852597554673006E-3</v>
      </c>
      <c r="AN52">
        <f t="shared" si="23"/>
        <v>1.932014112263003E-2</v>
      </c>
      <c r="AO52">
        <f t="shared" si="24"/>
        <v>9.2093954031335912E-3</v>
      </c>
      <c r="AP52">
        <f t="shared" si="25"/>
        <v>2.2989090656293398E-2</v>
      </c>
    </row>
    <row r="53" spans="1:42" x14ac:dyDescent="0.25">
      <c r="A53">
        <v>4.8999999999999998E-3</v>
      </c>
      <c r="B53">
        <v>0.70257776221322765</v>
      </c>
      <c r="C53">
        <v>0.68993705911871117</v>
      </c>
      <c r="D53">
        <v>0.65896596179687517</v>
      </c>
      <c r="E53">
        <v>0.6916017889146886</v>
      </c>
      <c r="F53">
        <v>0.69153956906639624</v>
      </c>
      <c r="G53">
        <v>0.69521156170854581</v>
      </c>
      <c r="H53">
        <v>0.68833104070193463</v>
      </c>
      <c r="I53">
        <v>0.6953298999076768</v>
      </c>
      <c r="J53">
        <v>0.68613333128950349</v>
      </c>
      <c r="M53">
        <f t="shared" si="1"/>
        <v>0.85128888110661383</v>
      </c>
      <c r="N53">
        <f t="shared" si="2"/>
        <v>0.84496852955935564</v>
      </c>
      <c r="O53">
        <f t="shared" si="3"/>
        <v>0.82948298089843764</v>
      </c>
      <c r="P53">
        <f t="shared" si="4"/>
        <v>0.8458008944573443</v>
      </c>
      <c r="Q53">
        <f t="shared" si="5"/>
        <v>0.84576978453319818</v>
      </c>
      <c r="R53">
        <f t="shared" si="6"/>
        <v>0.84760578085427296</v>
      </c>
      <c r="S53">
        <f t="shared" si="7"/>
        <v>0.84416552035096726</v>
      </c>
      <c r="T53">
        <f t="shared" si="8"/>
        <v>0.84766494995383845</v>
      </c>
      <c r="U53">
        <f t="shared" si="9"/>
        <v>0.84306666564475174</v>
      </c>
      <c r="X53">
        <f t="shared" si="10"/>
        <v>6.320351547258185E-3</v>
      </c>
      <c r="Y53">
        <f t="shared" si="11"/>
        <v>2.1805900208176188E-2</v>
      </c>
      <c r="Z53">
        <f t="shared" si="12"/>
        <v>5.4879866492695273E-3</v>
      </c>
      <c r="AA53">
        <f t="shared" si="13"/>
        <v>5.5190965734156494E-3</v>
      </c>
      <c r="AB53">
        <f t="shared" si="14"/>
        <v>3.6831002523408651E-3</v>
      </c>
      <c r="AC53">
        <f t="shared" si="15"/>
        <v>7.1233607556465683E-3</v>
      </c>
      <c r="AD53">
        <f t="shared" si="16"/>
        <v>3.6239311527753726E-3</v>
      </c>
      <c r="AE53">
        <f t="shared" si="17"/>
        <v>8.2222154618620813E-3</v>
      </c>
      <c r="AI53">
        <f t="shared" si="18"/>
        <v>1.2640703094516481E-2</v>
      </c>
      <c r="AJ53">
        <f t="shared" si="19"/>
        <v>4.3611800416352486E-2</v>
      </c>
      <c r="AK53">
        <f t="shared" si="20"/>
        <v>1.0975973298539055E-2</v>
      </c>
      <c r="AL53">
        <f t="shared" si="21"/>
        <v>1.103819314683141E-2</v>
      </c>
      <c r="AM53">
        <f t="shared" si="22"/>
        <v>7.3662005046818413E-3</v>
      </c>
      <c r="AN53">
        <f t="shared" si="23"/>
        <v>1.4246721511293026E-2</v>
      </c>
      <c r="AO53">
        <f t="shared" si="24"/>
        <v>7.2478623055508562E-3</v>
      </c>
      <c r="AP53">
        <f t="shared" si="25"/>
        <v>1.6444430923724163E-2</v>
      </c>
    </row>
    <row r="54" spans="1:42" x14ac:dyDescent="0.25">
      <c r="A54">
        <v>5.3E-3</v>
      </c>
      <c r="B54">
        <v>0.72518213384898711</v>
      </c>
      <c r="C54">
        <v>0.71644743294846169</v>
      </c>
      <c r="D54">
        <v>0.67877215665072466</v>
      </c>
      <c r="E54">
        <v>0.7194941671444659</v>
      </c>
      <c r="F54">
        <v>0.71941490327806523</v>
      </c>
      <c r="G54">
        <v>0.72019979405244539</v>
      </c>
      <c r="H54">
        <v>0.71470647261643316</v>
      </c>
      <c r="I54">
        <v>0.72165341141705175</v>
      </c>
      <c r="J54">
        <v>0.71195136063467945</v>
      </c>
      <c r="M54">
        <f t="shared" si="1"/>
        <v>0.86259106692449361</v>
      </c>
      <c r="N54">
        <f t="shared" si="2"/>
        <v>0.85822371647423079</v>
      </c>
      <c r="O54">
        <f t="shared" si="3"/>
        <v>0.83938607832536238</v>
      </c>
      <c r="P54">
        <f t="shared" si="4"/>
        <v>0.85974708357223295</v>
      </c>
      <c r="Q54">
        <f t="shared" si="5"/>
        <v>0.85970745163903262</v>
      </c>
      <c r="R54">
        <f t="shared" si="6"/>
        <v>0.86009989702622269</v>
      </c>
      <c r="S54">
        <f t="shared" si="7"/>
        <v>0.85735323630821658</v>
      </c>
      <c r="T54">
        <f t="shared" si="8"/>
        <v>0.86082670570852593</v>
      </c>
      <c r="U54">
        <f t="shared" si="9"/>
        <v>0.85597568031733973</v>
      </c>
      <c r="X54">
        <f t="shared" si="10"/>
        <v>4.3673504502628191E-3</v>
      </c>
      <c r="Y54">
        <f t="shared" si="11"/>
        <v>2.3204988599131227E-2</v>
      </c>
      <c r="Z54">
        <f t="shared" si="12"/>
        <v>2.8439833522606595E-3</v>
      </c>
      <c r="AA54">
        <f t="shared" si="13"/>
        <v>2.8836152854609942E-3</v>
      </c>
      <c r="AB54">
        <f t="shared" si="14"/>
        <v>2.4911698982709174E-3</v>
      </c>
      <c r="AC54">
        <f t="shared" si="15"/>
        <v>5.2378306162770283E-3</v>
      </c>
      <c r="AD54">
        <f t="shared" si="16"/>
        <v>1.7643612159676803E-3</v>
      </c>
      <c r="AE54">
        <f t="shared" si="17"/>
        <v>6.6153866071538836E-3</v>
      </c>
      <c r="AI54">
        <f t="shared" si="18"/>
        <v>8.7347009005254161E-3</v>
      </c>
      <c r="AJ54">
        <f t="shared" si="19"/>
        <v>4.6409977198262453E-2</v>
      </c>
      <c r="AK54">
        <f t="shared" si="20"/>
        <v>5.6879667045212079E-3</v>
      </c>
      <c r="AL54">
        <f t="shared" si="21"/>
        <v>5.7672305709218774E-3</v>
      </c>
      <c r="AM54">
        <f t="shared" si="22"/>
        <v>4.9823397965417238E-3</v>
      </c>
      <c r="AN54">
        <f t="shared" si="23"/>
        <v>1.0475661232553946E-2</v>
      </c>
      <c r="AO54">
        <f t="shared" si="24"/>
        <v>3.5287224319353605E-3</v>
      </c>
      <c r="AP54">
        <f t="shared" si="25"/>
        <v>1.3230773214307656E-2</v>
      </c>
    </row>
    <row r="55" spans="1:42" x14ac:dyDescent="0.25">
      <c r="A55">
        <v>5.7999999999999996E-3</v>
      </c>
      <c r="B55">
        <v>0.75674830725837483</v>
      </c>
      <c r="C55">
        <v>0.75119053507182054</v>
      </c>
      <c r="D55">
        <v>0.70653708131243043</v>
      </c>
      <c r="E55">
        <v>0.75464482707355951</v>
      </c>
      <c r="F55">
        <v>0.75456541668071142</v>
      </c>
      <c r="G55">
        <v>0.75453712237143844</v>
      </c>
      <c r="H55">
        <v>0.75027782944465193</v>
      </c>
      <c r="I55">
        <v>0.75450331845932106</v>
      </c>
      <c r="J55">
        <v>0.74290857660306897</v>
      </c>
      <c r="M55">
        <f t="shared" si="1"/>
        <v>0.87837415362918736</v>
      </c>
      <c r="N55">
        <f t="shared" si="2"/>
        <v>0.87559526753591022</v>
      </c>
      <c r="O55">
        <f t="shared" si="3"/>
        <v>0.85326854065621527</v>
      </c>
      <c r="P55">
        <f t="shared" si="4"/>
        <v>0.87732241353677975</v>
      </c>
      <c r="Q55">
        <f t="shared" si="5"/>
        <v>0.87728270834035571</v>
      </c>
      <c r="R55">
        <f t="shared" si="6"/>
        <v>0.87726856118571916</v>
      </c>
      <c r="S55">
        <f t="shared" si="7"/>
        <v>0.87513891472232597</v>
      </c>
      <c r="T55">
        <f t="shared" si="8"/>
        <v>0.87725165922966053</v>
      </c>
      <c r="U55">
        <f t="shared" si="9"/>
        <v>0.87145428830153449</v>
      </c>
      <c r="X55">
        <f t="shared" si="10"/>
        <v>2.7788860932771442E-3</v>
      </c>
      <c r="Y55">
        <f t="shared" si="11"/>
        <v>2.5105612972972091E-2</v>
      </c>
      <c r="Z55">
        <f t="shared" si="12"/>
        <v>1.0517400924076048E-3</v>
      </c>
      <c r="AA55">
        <f t="shared" si="13"/>
        <v>1.0914452888316495E-3</v>
      </c>
      <c r="AB55">
        <f t="shared" si="14"/>
        <v>1.1055924434681952E-3</v>
      </c>
      <c r="AC55">
        <f t="shared" si="15"/>
        <v>3.2352389068613929E-3</v>
      </c>
      <c r="AD55">
        <f t="shared" si="16"/>
        <v>1.1224943995268299E-3</v>
      </c>
      <c r="AE55">
        <f t="shared" si="17"/>
        <v>6.9198653276528743E-3</v>
      </c>
      <c r="AI55">
        <f t="shared" si="18"/>
        <v>5.5577721865542884E-3</v>
      </c>
      <c r="AJ55">
        <f t="shared" si="19"/>
        <v>5.0211225945944404E-2</v>
      </c>
      <c r="AK55">
        <f t="shared" si="20"/>
        <v>2.1034801848153206E-3</v>
      </c>
      <c r="AL55">
        <f t="shared" si="21"/>
        <v>2.18289057766341E-3</v>
      </c>
      <c r="AM55">
        <f t="shared" si="22"/>
        <v>2.2111848869363904E-3</v>
      </c>
      <c r="AN55">
        <f t="shared" si="23"/>
        <v>6.4704778137228969E-3</v>
      </c>
      <c r="AO55">
        <f t="shared" si="24"/>
        <v>2.2449887990537709E-3</v>
      </c>
      <c r="AP55">
        <f t="shared" si="25"/>
        <v>1.383973065530586E-2</v>
      </c>
    </row>
    <row r="56" spans="1:42" x14ac:dyDescent="0.25">
      <c r="A56">
        <v>6.3E-3</v>
      </c>
      <c r="B56">
        <v>0.7852126664175979</v>
      </c>
      <c r="C56">
        <v>0.77806556954142514</v>
      </c>
      <c r="D56">
        <v>0.72374714791035821</v>
      </c>
      <c r="E56">
        <v>0.78133599100873385</v>
      </c>
      <c r="F56">
        <v>0.78127340530582901</v>
      </c>
      <c r="G56">
        <v>0.78286552222518924</v>
      </c>
      <c r="H56">
        <v>0.7775247298024095</v>
      </c>
      <c r="I56">
        <v>0.78308523836916433</v>
      </c>
      <c r="J56">
        <v>0.77012198587463243</v>
      </c>
      <c r="M56">
        <f t="shared" si="1"/>
        <v>0.89260633320879901</v>
      </c>
      <c r="N56">
        <f t="shared" si="2"/>
        <v>0.88903278477071257</v>
      </c>
      <c r="O56">
        <f t="shared" si="3"/>
        <v>0.86187357395517905</v>
      </c>
      <c r="P56">
        <f t="shared" si="4"/>
        <v>0.89066799550436693</v>
      </c>
      <c r="Q56">
        <f t="shared" si="5"/>
        <v>0.8906367026529145</v>
      </c>
      <c r="R56">
        <f t="shared" si="6"/>
        <v>0.89143276111259462</v>
      </c>
      <c r="S56">
        <f t="shared" si="7"/>
        <v>0.88876236490120475</v>
      </c>
      <c r="T56">
        <f t="shared" si="8"/>
        <v>0.89154261918458211</v>
      </c>
      <c r="U56">
        <f t="shared" si="9"/>
        <v>0.88506099293731622</v>
      </c>
      <c r="X56">
        <f t="shared" si="10"/>
        <v>3.573548438086438E-3</v>
      </c>
      <c r="Y56">
        <f t="shared" si="11"/>
        <v>3.0732759253619957E-2</v>
      </c>
      <c r="Z56">
        <f t="shared" si="12"/>
        <v>1.9383377044320804E-3</v>
      </c>
      <c r="AA56">
        <f t="shared" si="13"/>
        <v>1.9696305558845051E-3</v>
      </c>
      <c r="AB56">
        <f t="shared" si="14"/>
        <v>1.1735720962043894E-3</v>
      </c>
      <c r="AC56">
        <f t="shared" si="15"/>
        <v>3.8439683075942588E-3</v>
      </c>
      <c r="AD56">
        <f t="shared" si="16"/>
        <v>1.0637140242168996E-3</v>
      </c>
      <c r="AE56">
        <f t="shared" si="17"/>
        <v>7.5453402714827922E-3</v>
      </c>
      <c r="AF56">
        <f>COUNT(X47:X56)</f>
        <v>10</v>
      </c>
      <c r="AI56">
        <f t="shared" si="18"/>
        <v>7.1470968761727649E-3</v>
      </c>
      <c r="AJ56">
        <f t="shared" si="19"/>
        <v>6.1465518507239691E-2</v>
      </c>
      <c r="AK56">
        <f t="shared" si="20"/>
        <v>3.8766754088640498E-3</v>
      </c>
      <c r="AL56">
        <f t="shared" si="21"/>
        <v>3.9392611117688991E-3</v>
      </c>
      <c r="AM56">
        <f t="shared" si="22"/>
        <v>2.3471441924086678E-3</v>
      </c>
      <c r="AN56">
        <f t="shared" si="23"/>
        <v>7.6879366151884065E-3</v>
      </c>
      <c r="AO56">
        <f t="shared" si="24"/>
        <v>2.1274280484335772E-3</v>
      </c>
      <c r="AP56">
        <f t="shared" si="25"/>
        <v>1.5090680542965473E-2</v>
      </c>
    </row>
    <row r="57" spans="1:42" s="10" customFormat="1" x14ac:dyDescent="0.25">
      <c r="A57" s="10" t="s">
        <v>59</v>
      </c>
      <c r="M57" s="10">
        <f>AVERAGE(M47:M56)</f>
        <v>0.85914655388666006</v>
      </c>
      <c r="N57" s="10">
        <f t="shared" ref="N57" si="44">AVERAGE(N47:N56)</f>
        <v>0.85366141032665621</v>
      </c>
      <c r="O57" s="10">
        <f t="shared" ref="O57" si="45">AVERAGE(O47:O56)</f>
        <v>0.83558546666071598</v>
      </c>
      <c r="P57" s="10">
        <f t="shared" ref="P57" si="46">AVERAGE(P47:P56)</f>
        <v>0.85517437296418186</v>
      </c>
      <c r="Q57" s="10">
        <f t="shared" ref="Q57" si="47">AVERAGE(Q47:Q56)</f>
        <v>0.85515889834121384</v>
      </c>
      <c r="R57" s="10">
        <f t="shared" ref="R57" si="48">AVERAGE(R47:R56)</f>
        <v>0.85600328778350065</v>
      </c>
      <c r="S57" s="10">
        <f t="shared" ref="S57" si="49">AVERAGE(S47:S56)</f>
        <v>0.8531091776542723</v>
      </c>
      <c r="T57" s="10">
        <f t="shared" ref="T57" si="50">AVERAGE(T47:T56)</f>
        <v>0.85593718992199652</v>
      </c>
      <c r="U57" s="10">
        <f t="shared" ref="U57" si="51">AVERAGE(U47:U56)</f>
        <v>0.85076765644416386</v>
      </c>
      <c r="X57" s="10">
        <f>((M57-N57)/N57)*100</f>
        <v>0.64254322541122477</v>
      </c>
      <c r="Y57" s="10">
        <f>((M57-O57)/O57)*100</f>
        <v>2.8197100315904491</v>
      </c>
      <c r="Z57" s="10">
        <f>((M57-P57)/P57)*100</f>
        <v>0.46448783406709593</v>
      </c>
      <c r="AA57" s="10">
        <f>((M57-Q57)/Q57)*100</f>
        <v>0.46630580038180497</v>
      </c>
      <c r="AB57" s="10">
        <f>((M57-R57)/R57)*100</f>
        <v>0.36720257363712305</v>
      </c>
      <c r="AC57" s="10">
        <f>((M57-S57)/S57)*100</f>
        <v>0.70769092520939236</v>
      </c>
      <c r="AD57" s="10">
        <f>((M57-T57)/T57)*100</f>
        <v>0.37495320947043009</v>
      </c>
      <c r="AE57" s="10">
        <f>((M57-U57)/U57)*100</f>
        <v>0.98486318550429197</v>
      </c>
      <c r="AI57" s="10">
        <f t="shared" si="18"/>
        <v>0</v>
      </c>
      <c r="AJ57" s="10">
        <f t="shared" si="19"/>
        <v>0</v>
      </c>
      <c r="AK57" s="10">
        <f t="shared" si="20"/>
        <v>0</v>
      </c>
      <c r="AL57" s="10">
        <f t="shared" si="21"/>
        <v>0</v>
      </c>
      <c r="AM57" s="10">
        <f t="shared" si="22"/>
        <v>0</v>
      </c>
      <c r="AN57" s="10">
        <f t="shared" si="23"/>
        <v>0</v>
      </c>
      <c r="AO57" s="10">
        <f t="shared" si="24"/>
        <v>0</v>
      </c>
      <c r="AP57" s="10">
        <f t="shared" si="25"/>
        <v>0</v>
      </c>
    </row>
    <row r="58" spans="1:42" x14ac:dyDescent="0.25">
      <c r="A58">
        <v>0.2087</v>
      </c>
      <c r="B58">
        <v>0.32691180853970692</v>
      </c>
      <c r="C58">
        <v>-9.8360862253438E-2</v>
      </c>
      <c r="D58">
        <v>-0.1033112980059486</v>
      </c>
      <c r="E58">
        <v>-0.2194882184871226</v>
      </c>
      <c r="F58">
        <v>0.48111726156425649</v>
      </c>
      <c r="G58">
        <v>0.23770541711247531</v>
      </c>
      <c r="H58">
        <v>0.15983640116183681</v>
      </c>
      <c r="I58">
        <v>0.20082009376743609</v>
      </c>
      <c r="J58">
        <v>-7.3770646690078504E-2</v>
      </c>
      <c r="M58">
        <f t="shared" si="1"/>
        <v>0.66345590426985346</v>
      </c>
      <c r="N58">
        <f t="shared" si="2"/>
        <v>0.45081956887328101</v>
      </c>
      <c r="O58">
        <f t="shared" si="3"/>
        <v>0.44834435099702569</v>
      </c>
      <c r="P58">
        <f t="shared" si="4"/>
        <v>0.39025589075643868</v>
      </c>
      <c r="Q58">
        <f t="shared" si="5"/>
        <v>0.74055863078212825</v>
      </c>
      <c r="R58">
        <f t="shared" si="6"/>
        <v>0.61885270855623764</v>
      </c>
      <c r="S58">
        <f t="shared" si="7"/>
        <v>0.57991820058091836</v>
      </c>
      <c r="T58">
        <f t="shared" si="8"/>
        <v>0.60041004688371802</v>
      </c>
      <c r="U58">
        <f t="shared" si="9"/>
        <v>0.46311467665496076</v>
      </c>
      <c r="X58">
        <f t="shared" si="10"/>
        <v>0.21263633539657245</v>
      </c>
      <c r="Y58">
        <f t="shared" si="11"/>
        <v>0.21511155327282777</v>
      </c>
      <c r="Z58">
        <f t="shared" si="12"/>
        <v>0.27320001351341477</v>
      </c>
      <c r="AA58">
        <f t="shared" si="13"/>
        <v>-7.7102726512274788E-2</v>
      </c>
      <c r="AB58">
        <f t="shared" si="14"/>
        <v>4.4603195713615817E-2</v>
      </c>
      <c r="AC58">
        <f t="shared" si="15"/>
        <v>8.3537703688935094E-2</v>
      </c>
      <c r="AD58">
        <f t="shared" si="16"/>
        <v>6.304585738613544E-2</v>
      </c>
      <c r="AE58">
        <f t="shared" si="17"/>
        <v>0.2003412276148927</v>
      </c>
      <c r="AI58">
        <f t="shared" si="18"/>
        <v>0.4252726707931449</v>
      </c>
      <c r="AJ58">
        <f t="shared" si="19"/>
        <v>0.43022310654565554</v>
      </c>
      <c r="AK58">
        <f t="shared" si="20"/>
        <v>0.54640002702682955</v>
      </c>
      <c r="AL58">
        <f t="shared" si="21"/>
        <v>-0.15420545302454958</v>
      </c>
      <c r="AM58">
        <f t="shared" si="22"/>
        <v>8.9206391427231607E-2</v>
      </c>
      <c r="AN58">
        <f t="shared" si="23"/>
        <v>0.16707540737787011</v>
      </c>
      <c r="AO58">
        <f t="shared" si="24"/>
        <v>0.12609171477227082</v>
      </c>
      <c r="AP58">
        <f t="shared" si="25"/>
        <v>0.40068245522978541</v>
      </c>
    </row>
    <row r="59" spans="1:42" x14ac:dyDescent="0.25">
      <c r="A59">
        <v>0.255</v>
      </c>
      <c r="B59">
        <v>0.43478460899545268</v>
      </c>
      <c r="C59">
        <v>-2.85719640776478E-2</v>
      </c>
      <c r="D59">
        <v>-1.2346959796971301E-2</v>
      </c>
      <c r="E59">
        <v>-0.1246201417014673</v>
      </c>
      <c r="F59">
        <v>0.38394350339931249</v>
      </c>
      <c r="G59">
        <v>0.212248876005384</v>
      </c>
      <c r="H59">
        <v>5.7143928155295703E-2</v>
      </c>
      <c r="I59">
        <v>0.25714767669883071</v>
      </c>
      <c r="J59">
        <v>-2.44902549236981E-2</v>
      </c>
      <c r="M59">
        <f t="shared" si="1"/>
        <v>0.7173923044977264</v>
      </c>
      <c r="N59">
        <f t="shared" si="2"/>
        <v>0.48571401796117608</v>
      </c>
      <c r="O59">
        <f t="shared" si="3"/>
        <v>0.49382652010151434</v>
      </c>
      <c r="P59">
        <f t="shared" si="4"/>
        <v>0.43768992914926635</v>
      </c>
      <c r="Q59">
        <f t="shared" si="5"/>
        <v>0.69197175169965619</v>
      </c>
      <c r="R59">
        <f t="shared" si="6"/>
        <v>0.606124438002692</v>
      </c>
      <c r="S59">
        <f t="shared" si="7"/>
        <v>0.52857196407764784</v>
      </c>
      <c r="T59">
        <f t="shared" si="8"/>
        <v>0.62857383834941538</v>
      </c>
      <c r="U59">
        <f t="shared" si="9"/>
        <v>0.48775487253815097</v>
      </c>
      <c r="X59">
        <f t="shared" si="10"/>
        <v>0.23167828653655032</v>
      </c>
      <c r="Y59">
        <f t="shared" si="11"/>
        <v>0.22356578439621205</v>
      </c>
      <c r="Z59">
        <f t="shared" si="12"/>
        <v>0.27970237534846004</v>
      </c>
      <c r="AA59">
        <f t="shared" si="13"/>
        <v>2.5420552798070206E-2</v>
      </c>
      <c r="AB59">
        <f t="shared" si="14"/>
        <v>0.1112678664950344</v>
      </c>
      <c r="AC59">
        <f t="shared" si="15"/>
        <v>0.18882034042007856</v>
      </c>
      <c r="AD59">
        <f t="shared" si="16"/>
        <v>8.8818466148311015E-2</v>
      </c>
      <c r="AE59">
        <f t="shared" si="17"/>
        <v>0.22963743195957542</v>
      </c>
      <c r="AI59">
        <f t="shared" si="18"/>
        <v>0.46335657307310046</v>
      </c>
      <c r="AJ59">
        <f t="shared" si="19"/>
        <v>0.44713156879242399</v>
      </c>
      <c r="AK59">
        <f t="shared" si="20"/>
        <v>0.55940475069691997</v>
      </c>
      <c r="AL59">
        <f t="shared" si="21"/>
        <v>5.084110559614019E-2</v>
      </c>
      <c r="AM59">
        <f t="shared" si="22"/>
        <v>0.22253573299006868</v>
      </c>
      <c r="AN59">
        <f t="shared" si="23"/>
        <v>0.37764068084015701</v>
      </c>
      <c r="AO59">
        <f t="shared" si="24"/>
        <v>0.17763693229662197</v>
      </c>
      <c r="AP59">
        <f t="shared" si="25"/>
        <v>0.45927486391915079</v>
      </c>
    </row>
    <row r="60" spans="1:42" x14ac:dyDescent="0.25">
      <c r="A60">
        <v>0.3014</v>
      </c>
      <c r="B60">
        <v>0.58704934560270794</v>
      </c>
      <c r="C60">
        <v>8.3760030098048596E-2</v>
      </c>
      <c r="D60">
        <v>7.6216923764117095E-2</v>
      </c>
      <c r="E60">
        <v>-8.1801130425812E-3</v>
      </c>
      <c r="F60">
        <v>0.45505085431754289</v>
      </c>
      <c r="G60">
        <v>0.27988107618128438</v>
      </c>
      <c r="H60">
        <v>0.14504785699905981</v>
      </c>
      <c r="I60">
        <v>0.40654258511004082</v>
      </c>
      <c r="J60">
        <v>0.104189305731719</v>
      </c>
      <c r="M60">
        <f t="shared" si="1"/>
        <v>0.79352467280135397</v>
      </c>
      <c r="N60">
        <f t="shared" si="2"/>
        <v>0.54188001504902428</v>
      </c>
      <c r="O60">
        <f t="shared" si="3"/>
        <v>0.53810846188205852</v>
      </c>
      <c r="P60">
        <f t="shared" si="4"/>
        <v>0.49590994347870943</v>
      </c>
      <c r="Q60">
        <f t="shared" si="5"/>
        <v>0.72752542715877144</v>
      </c>
      <c r="R60">
        <f t="shared" si="6"/>
        <v>0.63994053809064222</v>
      </c>
      <c r="S60">
        <f t="shared" si="7"/>
        <v>0.57252392849952993</v>
      </c>
      <c r="T60">
        <f t="shared" si="8"/>
        <v>0.70327129255502041</v>
      </c>
      <c r="U60">
        <f t="shared" si="9"/>
        <v>0.55209465286585946</v>
      </c>
      <c r="X60">
        <f t="shared" si="10"/>
        <v>0.25164465775232969</v>
      </c>
      <c r="Y60">
        <f t="shared" si="11"/>
        <v>0.25541621091929545</v>
      </c>
      <c r="Z60">
        <f t="shared" si="12"/>
        <v>0.29761472932264454</v>
      </c>
      <c r="AA60">
        <f t="shared" si="13"/>
        <v>6.5999245642582527E-2</v>
      </c>
      <c r="AB60">
        <f t="shared" si="14"/>
        <v>0.15358413471071175</v>
      </c>
      <c r="AC60">
        <f t="shared" si="15"/>
        <v>0.22100074430182404</v>
      </c>
      <c r="AD60">
        <f t="shared" si="16"/>
        <v>9.0253380246333559E-2</v>
      </c>
      <c r="AE60">
        <f t="shared" si="17"/>
        <v>0.24143001993549451</v>
      </c>
      <c r="AI60">
        <f t="shared" si="18"/>
        <v>0.50328931550465938</v>
      </c>
      <c r="AJ60">
        <f t="shared" si="19"/>
        <v>0.5108324218385909</v>
      </c>
      <c r="AK60">
        <f t="shared" si="20"/>
        <v>0.59522945864528909</v>
      </c>
      <c r="AL60">
        <f t="shared" si="21"/>
        <v>0.13199849128516505</v>
      </c>
      <c r="AM60">
        <f t="shared" si="22"/>
        <v>0.30716826942142356</v>
      </c>
      <c r="AN60">
        <f t="shared" si="23"/>
        <v>0.44200148860364813</v>
      </c>
      <c r="AO60">
        <f t="shared" si="24"/>
        <v>0.18050676049266712</v>
      </c>
      <c r="AP60">
        <f t="shared" si="25"/>
        <v>0.48286003987098891</v>
      </c>
    </row>
    <row r="61" spans="1:42" x14ac:dyDescent="0.25">
      <c r="A61">
        <v>0.3478</v>
      </c>
      <c r="B61">
        <v>0.62475801767177142</v>
      </c>
      <c r="C61">
        <v>0.2415569217998724</v>
      </c>
      <c r="D61">
        <v>0.2229245808629661</v>
      </c>
      <c r="E61">
        <v>0.12909944487358049</v>
      </c>
      <c r="F61">
        <v>0.45905952020892349</v>
      </c>
      <c r="G61">
        <v>0.3357231794506701</v>
      </c>
      <c r="H61">
        <v>0.16376740461008299</v>
      </c>
      <c r="I61">
        <v>0.47083128825398862</v>
      </c>
      <c r="J61">
        <v>0.2538394771456286</v>
      </c>
      <c r="M61">
        <f t="shared" si="1"/>
        <v>0.81237900883588576</v>
      </c>
      <c r="N61">
        <f t="shared" si="2"/>
        <v>0.62077846089993616</v>
      </c>
      <c r="O61">
        <f t="shared" si="3"/>
        <v>0.61146229043148304</v>
      </c>
      <c r="P61">
        <f t="shared" si="4"/>
        <v>0.56454972243679025</v>
      </c>
      <c r="Q61">
        <f t="shared" si="5"/>
        <v>0.72952976010446169</v>
      </c>
      <c r="R61">
        <f t="shared" si="6"/>
        <v>0.66786158972533505</v>
      </c>
      <c r="S61">
        <f t="shared" si="7"/>
        <v>0.58188370230504149</v>
      </c>
      <c r="T61">
        <f t="shared" si="8"/>
        <v>0.73541564412699434</v>
      </c>
      <c r="U61">
        <f t="shared" si="9"/>
        <v>0.62691973857281424</v>
      </c>
      <c r="X61">
        <f t="shared" si="10"/>
        <v>0.19160054793594961</v>
      </c>
      <c r="Y61">
        <f t="shared" si="11"/>
        <v>0.20091671840440273</v>
      </c>
      <c r="Z61">
        <f t="shared" si="12"/>
        <v>0.24782928639909552</v>
      </c>
      <c r="AA61">
        <f t="shared" si="13"/>
        <v>8.2849248731424074E-2</v>
      </c>
      <c r="AB61">
        <f t="shared" si="14"/>
        <v>0.14451741911055072</v>
      </c>
      <c r="AC61">
        <f t="shared" si="15"/>
        <v>0.23049530653084427</v>
      </c>
      <c r="AD61">
        <f t="shared" si="16"/>
        <v>7.6963364708891424E-2</v>
      </c>
      <c r="AE61">
        <f t="shared" si="17"/>
        <v>0.18545927026307152</v>
      </c>
      <c r="AI61">
        <f t="shared" si="18"/>
        <v>0.38320109587189899</v>
      </c>
      <c r="AJ61">
        <f t="shared" si="19"/>
        <v>0.40183343680880534</v>
      </c>
      <c r="AK61">
        <f t="shared" si="20"/>
        <v>0.49565857279819092</v>
      </c>
      <c r="AL61">
        <f t="shared" si="21"/>
        <v>0.16569849746284793</v>
      </c>
      <c r="AM61">
        <f t="shared" si="22"/>
        <v>0.28903483822110132</v>
      </c>
      <c r="AN61">
        <f t="shared" si="23"/>
        <v>0.46099061306168843</v>
      </c>
      <c r="AO61">
        <f t="shared" si="24"/>
        <v>0.15392672941778279</v>
      </c>
      <c r="AP61">
        <f t="shared" si="25"/>
        <v>0.37091854052614281</v>
      </c>
    </row>
    <row r="62" spans="1:42" x14ac:dyDescent="0.25">
      <c r="A62">
        <v>0.39410000000000001</v>
      </c>
      <c r="B62">
        <v>0.63968135589812303</v>
      </c>
      <c r="C62">
        <v>0.28396693130801848</v>
      </c>
      <c r="D62">
        <v>0.24101027244328929</v>
      </c>
      <c r="E62">
        <v>0.24131333475614611</v>
      </c>
      <c r="F62">
        <v>0.36281081628020317</v>
      </c>
      <c r="G62">
        <v>0.33708304795556149</v>
      </c>
      <c r="H62">
        <v>9.6017595478250797E-2</v>
      </c>
      <c r="I62">
        <v>0.49643139789819057</v>
      </c>
      <c r="J62">
        <v>0.27579522105455029</v>
      </c>
      <c r="M62">
        <f t="shared" si="1"/>
        <v>0.81984067794906146</v>
      </c>
      <c r="N62">
        <f t="shared" si="2"/>
        <v>0.64198346565400921</v>
      </c>
      <c r="O62">
        <f t="shared" si="3"/>
        <v>0.6205051362216446</v>
      </c>
      <c r="P62">
        <f t="shared" si="4"/>
        <v>0.62065666737807301</v>
      </c>
      <c r="Q62">
        <f t="shared" si="5"/>
        <v>0.68140540814010153</v>
      </c>
      <c r="R62">
        <f t="shared" si="6"/>
        <v>0.66854152397778077</v>
      </c>
      <c r="S62">
        <f t="shared" si="7"/>
        <v>0.54800879773912536</v>
      </c>
      <c r="T62">
        <f t="shared" si="8"/>
        <v>0.74821569894909534</v>
      </c>
      <c r="U62">
        <f t="shared" si="9"/>
        <v>0.63789761052727512</v>
      </c>
      <c r="X62">
        <f t="shared" si="10"/>
        <v>0.17785721229505225</v>
      </c>
      <c r="Y62">
        <f t="shared" si="11"/>
        <v>0.19933554172741685</v>
      </c>
      <c r="Z62">
        <f t="shared" si="12"/>
        <v>0.19918401057098845</v>
      </c>
      <c r="AA62">
        <f t="shared" si="13"/>
        <v>0.13843526980895993</v>
      </c>
      <c r="AB62">
        <f t="shared" si="14"/>
        <v>0.15129915397128069</v>
      </c>
      <c r="AC62">
        <f t="shared" si="15"/>
        <v>0.27183188020993609</v>
      </c>
      <c r="AD62">
        <f t="shared" si="16"/>
        <v>7.1624978999966116E-2</v>
      </c>
      <c r="AE62">
        <f t="shared" si="17"/>
        <v>0.18194306742178634</v>
      </c>
      <c r="AI62">
        <f t="shared" si="18"/>
        <v>0.35571442459010455</v>
      </c>
      <c r="AJ62">
        <f t="shared" si="19"/>
        <v>0.39867108345483371</v>
      </c>
      <c r="AK62">
        <f t="shared" si="20"/>
        <v>0.39836802114197689</v>
      </c>
      <c r="AL62">
        <f t="shared" si="21"/>
        <v>0.27687053961791985</v>
      </c>
      <c r="AM62">
        <f t="shared" si="22"/>
        <v>0.30259830794256154</v>
      </c>
      <c r="AN62">
        <f t="shared" si="23"/>
        <v>0.54366376041987219</v>
      </c>
      <c r="AO62">
        <f t="shared" si="24"/>
        <v>0.14324995799993245</v>
      </c>
      <c r="AP62">
        <f t="shared" si="25"/>
        <v>0.36388613484357274</v>
      </c>
    </row>
    <row r="63" spans="1:42" x14ac:dyDescent="0.25">
      <c r="A63">
        <v>0.4405</v>
      </c>
      <c r="B63">
        <v>0.68149959642543045</v>
      </c>
      <c r="C63">
        <v>0.41633433370286871</v>
      </c>
      <c r="D63">
        <v>0.35806183411216991</v>
      </c>
      <c r="E63">
        <v>0.369774518819108</v>
      </c>
      <c r="F63">
        <v>0.38701505142650688</v>
      </c>
      <c r="G63">
        <v>0.4449062977805166</v>
      </c>
      <c r="H63">
        <v>0.11428785631059141</v>
      </c>
      <c r="I63">
        <v>0.62858320970825277</v>
      </c>
      <c r="J63">
        <v>0.38776236962522082</v>
      </c>
      <c r="M63">
        <f t="shared" si="1"/>
        <v>0.84074979821271523</v>
      </c>
      <c r="N63">
        <f t="shared" si="2"/>
        <v>0.70816716685143433</v>
      </c>
      <c r="O63">
        <f t="shared" si="3"/>
        <v>0.67903091705608498</v>
      </c>
      <c r="P63">
        <f t="shared" si="4"/>
        <v>0.68488725940955397</v>
      </c>
      <c r="Q63">
        <f t="shared" si="5"/>
        <v>0.69350752571325347</v>
      </c>
      <c r="R63">
        <f t="shared" si="6"/>
        <v>0.72245314889025836</v>
      </c>
      <c r="S63">
        <f t="shared" si="7"/>
        <v>0.55714392815529568</v>
      </c>
      <c r="T63">
        <f t="shared" si="8"/>
        <v>0.81429160485412644</v>
      </c>
      <c r="U63">
        <f t="shared" si="9"/>
        <v>0.69388118481261041</v>
      </c>
      <c r="X63">
        <f t="shared" si="10"/>
        <v>0.1325826313612809</v>
      </c>
      <c r="Y63">
        <f t="shared" si="11"/>
        <v>0.16171888115663025</v>
      </c>
      <c r="Z63">
        <f t="shared" si="12"/>
        <v>0.15586253880316125</v>
      </c>
      <c r="AA63">
        <f t="shared" si="13"/>
        <v>0.14724227249946176</v>
      </c>
      <c r="AB63">
        <f t="shared" si="14"/>
        <v>0.11829664932245687</v>
      </c>
      <c r="AC63">
        <f t="shared" si="15"/>
        <v>0.28360587005741955</v>
      </c>
      <c r="AD63">
        <f t="shared" si="16"/>
        <v>2.6458193358588789E-2</v>
      </c>
      <c r="AE63">
        <f t="shared" si="17"/>
        <v>0.14686861340010482</v>
      </c>
      <c r="AI63">
        <f t="shared" si="18"/>
        <v>0.26516526272256175</v>
      </c>
      <c r="AJ63">
        <f t="shared" si="19"/>
        <v>0.32343776231326055</v>
      </c>
      <c r="AK63">
        <f t="shared" si="20"/>
        <v>0.31172507760632245</v>
      </c>
      <c r="AL63">
        <f t="shared" si="21"/>
        <v>0.29448454499892357</v>
      </c>
      <c r="AM63">
        <f t="shared" si="22"/>
        <v>0.23659329864491385</v>
      </c>
      <c r="AN63">
        <f t="shared" si="23"/>
        <v>0.5672117401148391</v>
      </c>
      <c r="AO63">
        <f t="shared" si="24"/>
        <v>5.2916386717177688E-2</v>
      </c>
      <c r="AP63">
        <f t="shared" si="25"/>
        <v>0.29373722680020964</v>
      </c>
    </row>
    <row r="64" spans="1:42" x14ac:dyDescent="0.25">
      <c r="A64">
        <v>0.4869</v>
      </c>
      <c r="B64">
        <v>0.53077726316739582</v>
      </c>
      <c r="C64">
        <v>0.43993313252996669</v>
      </c>
      <c r="D64">
        <v>0.39430371832036759</v>
      </c>
      <c r="E64">
        <v>0.50766662503048854</v>
      </c>
      <c r="F64">
        <v>0.25135760112986422</v>
      </c>
      <c r="G64">
        <v>0.42771276773746758</v>
      </c>
      <c r="H64">
        <v>8.1469098616660504E-2</v>
      </c>
      <c r="I64">
        <v>0.4969615015616291</v>
      </c>
      <c r="J64">
        <v>0.42771276773746758</v>
      </c>
      <c r="M64">
        <f t="shared" si="1"/>
        <v>0.76538863158369796</v>
      </c>
      <c r="N64">
        <f t="shared" si="2"/>
        <v>0.71996656626498334</v>
      </c>
      <c r="O64">
        <f t="shared" si="3"/>
        <v>0.69715185916018374</v>
      </c>
      <c r="P64">
        <f t="shared" si="4"/>
        <v>0.75383331251524432</v>
      </c>
      <c r="Q64">
        <f t="shared" si="5"/>
        <v>0.62567880056493208</v>
      </c>
      <c r="R64">
        <f t="shared" si="6"/>
        <v>0.71385638386873373</v>
      </c>
      <c r="S64">
        <f t="shared" si="7"/>
        <v>0.5407345493083302</v>
      </c>
      <c r="T64">
        <f t="shared" si="8"/>
        <v>0.74848075078081455</v>
      </c>
      <c r="U64">
        <f t="shared" si="9"/>
        <v>0.71385638386873373</v>
      </c>
      <c r="X64">
        <f t="shared" si="10"/>
        <v>4.5422065318714622E-2</v>
      </c>
      <c r="Y64">
        <f t="shared" si="11"/>
        <v>6.8236772423514225E-2</v>
      </c>
      <c r="Z64">
        <f t="shared" si="12"/>
        <v>1.155531906845364E-2</v>
      </c>
      <c r="AA64">
        <f t="shared" si="13"/>
        <v>0.13970983101876588</v>
      </c>
      <c r="AB64">
        <f t="shared" si="14"/>
        <v>5.153224771496423E-2</v>
      </c>
      <c r="AC64">
        <f t="shared" si="15"/>
        <v>0.22465408227536776</v>
      </c>
      <c r="AD64">
        <f t="shared" si="16"/>
        <v>1.6907880802883413E-2</v>
      </c>
      <c r="AE64">
        <f t="shared" si="17"/>
        <v>5.153224771496423E-2</v>
      </c>
      <c r="AI64">
        <f t="shared" si="18"/>
        <v>9.0844130637429132E-2</v>
      </c>
      <c r="AJ64">
        <f t="shared" si="19"/>
        <v>0.13647354484702823</v>
      </c>
      <c r="AK64">
        <f t="shared" si="20"/>
        <v>2.311063813690728E-2</v>
      </c>
      <c r="AL64">
        <f t="shared" si="21"/>
        <v>0.2794196620375316</v>
      </c>
      <c r="AM64">
        <f t="shared" si="22"/>
        <v>0.10306449542992824</v>
      </c>
      <c r="AN64">
        <f t="shared" si="23"/>
        <v>0.4493081645507353</v>
      </c>
      <c r="AO64">
        <f t="shared" si="24"/>
        <v>3.3815761605766714E-2</v>
      </c>
      <c r="AP64">
        <f t="shared" si="25"/>
        <v>0.10306449542992824</v>
      </c>
    </row>
    <row r="65" spans="1:42" x14ac:dyDescent="0.25">
      <c r="A65">
        <v>0.53320000000000001</v>
      </c>
      <c r="B65">
        <v>0.5454556585169168</v>
      </c>
      <c r="C65">
        <v>0.4261066686474953</v>
      </c>
      <c r="D65">
        <v>0.37825666732900098</v>
      </c>
      <c r="E65">
        <v>0.45103543666642371</v>
      </c>
      <c r="F65">
        <v>0.2454750078411766</v>
      </c>
      <c r="G65">
        <v>0.52804606306077173</v>
      </c>
      <c r="H65">
        <v>5.50472729831692E-2</v>
      </c>
      <c r="I65">
        <v>0.54027879039036486</v>
      </c>
      <c r="J65">
        <v>0.39756363821177793</v>
      </c>
      <c r="M65">
        <f t="shared" si="1"/>
        <v>0.7727278292584584</v>
      </c>
      <c r="N65">
        <f t="shared" si="2"/>
        <v>0.71305333432374762</v>
      </c>
      <c r="O65">
        <f t="shared" si="3"/>
        <v>0.68912833366450044</v>
      </c>
      <c r="P65">
        <f t="shared" si="4"/>
        <v>0.72551771833321188</v>
      </c>
      <c r="Q65">
        <f t="shared" si="5"/>
        <v>0.62273750392058824</v>
      </c>
      <c r="R65">
        <f t="shared" si="6"/>
        <v>0.76402303153038587</v>
      </c>
      <c r="S65">
        <f t="shared" si="7"/>
        <v>0.52752363649158462</v>
      </c>
      <c r="T65">
        <f t="shared" si="8"/>
        <v>0.77013939519518249</v>
      </c>
      <c r="U65">
        <f t="shared" si="9"/>
        <v>0.69878181910588899</v>
      </c>
      <c r="X65">
        <f t="shared" si="10"/>
        <v>5.9674494934710776E-2</v>
      </c>
      <c r="Y65">
        <f t="shared" si="11"/>
        <v>8.3599495593957962E-2</v>
      </c>
      <c r="Z65">
        <f t="shared" si="12"/>
        <v>4.7210110925246518E-2</v>
      </c>
      <c r="AA65">
        <f t="shared" si="13"/>
        <v>0.14999032533787016</v>
      </c>
      <c r="AB65">
        <f t="shared" si="14"/>
        <v>8.704797728072533E-3</v>
      </c>
      <c r="AC65">
        <f t="shared" si="15"/>
        <v>0.24520419276687377</v>
      </c>
      <c r="AD65">
        <f t="shared" si="16"/>
        <v>2.5884340632759129E-3</v>
      </c>
      <c r="AE65">
        <f t="shared" si="17"/>
        <v>7.3946010152569408E-2</v>
      </c>
      <c r="AI65">
        <f t="shared" si="18"/>
        <v>0.1193489898694215</v>
      </c>
      <c r="AJ65">
        <f t="shared" si="19"/>
        <v>0.16719899118791581</v>
      </c>
      <c r="AK65">
        <f t="shared" si="20"/>
        <v>9.4420221850493091E-2</v>
      </c>
      <c r="AL65">
        <f t="shared" si="21"/>
        <v>0.2999806506757402</v>
      </c>
      <c r="AM65">
        <f t="shared" si="22"/>
        <v>1.7409595456145066E-2</v>
      </c>
      <c r="AN65">
        <f t="shared" si="23"/>
        <v>0.4904083855337476</v>
      </c>
      <c r="AO65">
        <f t="shared" si="24"/>
        <v>5.1768681265519367E-3</v>
      </c>
      <c r="AP65">
        <f t="shared" si="25"/>
        <v>0.14789202030513887</v>
      </c>
    </row>
    <row r="66" spans="1:42" x14ac:dyDescent="0.25">
      <c r="A66">
        <v>0.5796</v>
      </c>
      <c r="B66">
        <v>0.4596774193548388</v>
      </c>
      <c r="C66">
        <v>0.31944370446229409</v>
      </c>
      <c r="D66">
        <v>0.31389387099243582</v>
      </c>
      <c r="E66">
        <v>0.4317942831184291</v>
      </c>
      <c r="F66">
        <v>5.8182654677543903E-2</v>
      </c>
      <c r="G66">
        <v>0.43338540796476838</v>
      </c>
      <c r="H66">
        <v>-0.1159763767793042</v>
      </c>
      <c r="I66">
        <v>0.38048390276719107</v>
      </c>
      <c r="J66">
        <v>0.28281958547935587</v>
      </c>
      <c r="M66">
        <f t="shared" si="1"/>
        <v>0.72983870967741937</v>
      </c>
      <c r="N66">
        <f t="shared" si="2"/>
        <v>0.65972185223114699</v>
      </c>
      <c r="O66">
        <f t="shared" si="3"/>
        <v>0.65694693549621785</v>
      </c>
      <c r="P66">
        <f t="shared" si="4"/>
        <v>0.71589714155921458</v>
      </c>
      <c r="Q66">
        <f t="shared" si="5"/>
        <v>0.52909132733877196</v>
      </c>
      <c r="R66">
        <f t="shared" si="6"/>
        <v>0.71669270398238416</v>
      </c>
      <c r="S66">
        <f t="shared" si="7"/>
        <v>0.44201181161034792</v>
      </c>
      <c r="T66">
        <f t="shared" si="8"/>
        <v>0.69024195138359556</v>
      </c>
      <c r="U66">
        <f t="shared" si="9"/>
        <v>0.64140979273967791</v>
      </c>
      <c r="X66">
        <f t="shared" si="10"/>
        <v>7.0116857446272385E-2</v>
      </c>
      <c r="Y66">
        <f t="shared" si="11"/>
        <v>7.2891774181201519E-2</v>
      </c>
      <c r="Z66">
        <f t="shared" si="12"/>
        <v>1.3941568118204795E-2</v>
      </c>
      <c r="AA66">
        <f t="shared" si="13"/>
        <v>0.20074738233864742</v>
      </c>
      <c r="AB66">
        <f t="shared" si="14"/>
        <v>1.3146005695035212E-2</v>
      </c>
      <c r="AC66">
        <f t="shared" si="15"/>
        <v>0.28782689806707146</v>
      </c>
      <c r="AD66">
        <f t="shared" si="16"/>
        <v>3.9596758293823808E-2</v>
      </c>
      <c r="AE66">
        <f t="shared" si="17"/>
        <v>8.8428916937741464E-2</v>
      </c>
      <c r="AI66">
        <f t="shared" si="18"/>
        <v>0.14023371489254471</v>
      </c>
      <c r="AJ66">
        <f t="shared" si="19"/>
        <v>0.14578354836240298</v>
      </c>
      <c r="AK66">
        <f t="shared" si="20"/>
        <v>2.78831362364097E-2</v>
      </c>
      <c r="AL66">
        <f t="shared" si="21"/>
        <v>0.40149476467729489</v>
      </c>
      <c r="AM66">
        <f t="shared" si="22"/>
        <v>2.6292011390070424E-2</v>
      </c>
      <c r="AN66">
        <f t="shared" si="23"/>
        <v>0.57565379613414303</v>
      </c>
      <c r="AO66">
        <f t="shared" si="24"/>
        <v>7.9193516587647728E-2</v>
      </c>
      <c r="AP66">
        <f t="shared" si="25"/>
        <v>0.17685783387548293</v>
      </c>
    </row>
    <row r="67" spans="1:42" x14ac:dyDescent="0.25">
      <c r="A67">
        <v>0.626</v>
      </c>
      <c r="B67">
        <v>0.4919354838709678</v>
      </c>
      <c r="C67">
        <v>0.4740788735013664</v>
      </c>
      <c r="D67">
        <v>0.44109269453185429</v>
      </c>
      <c r="E67">
        <v>0.54992668133007483</v>
      </c>
      <c r="F67">
        <v>0.16229898410051741</v>
      </c>
      <c r="G67">
        <v>0.48221756660868598</v>
      </c>
      <c r="H67">
        <v>4.6797485367087603E-2</v>
      </c>
      <c r="I67">
        <v>0.47000952694770659</v>
      </c>
      <c r="J67">
        <v>0.4374547545184283</v>
      </c>
      <c r="M67">
        <f t="shared" si="1"/>
        <v>0.74596774193548387</v>
      </c>
      <c r="N67">
        <f t="shared" si="2"/>
        <v>0.73703943675068317</v>
      </c>
      <c r="O67">
        <f t="shared" si="3"/>
        <v>0.72054634726592715</v>
      </c>
      <c r="P67">
        <f t="shared" si="4"/>
        <v>0.77496334066503736</v>
      </c>
      <c r="Q67">
        <f t="shared" si="5"/>
        <v>0.58114949205025868</v>
      </c>
      <c r="R67">
        <f t="shared" si="6"/>
        <v>0.74110878330434304</v>
      </c>
      <c r="S67">
        <f t="shared" si="7"/>
        <v>0.52339874268354381</v>
      </c>
      <c r="T67">
        <f t="shared" si="8"/>
        <v>0.73500476347385324</v>
      </c>
      <c r="U67">
        <f t="shared" si="9"/>
        <v>0.71872737725921421</v>
      </c>
      <c r="X67">
        <f t="shared" si="10"/>
        <v>8.9283051848007E-3</v>
      </c>
      <c r="Y67">
        <f t="shared" si="11"/>
        <v>2.5421394669556729E-2</v>
      </c>
      <c r="Z67">
        <f t="shared" si="12"/>
        <v>-2.8995598729553484E-2</v>
      </c>
      <c r="AA67">
        <f t="shared" si="13"/>
        <v>0.1648182498852252</v>
      </c>
      <c r="AB67">
        <f t="shared" si="14"/>
        <v>4.8589586311408306E-3</v>
      </c>
      <c r="AC67">
        <f t="shared" si="15"/>
        <v>0.22256899925194007</v>
      </c>
      <c r="AD67">
        <f t="shared" si="16"/>
        <v>1.0962978461630635E-2</v>
      </c>
      <c r="AE67">
        <f t="shared" si="17"/>
        <v>2.7240364676269668E-2</v>
      </c>
      <c r="AF67">
        <f>COUNT(X58:X67)</f>
        <v>10</v>
      </c>
      <c r="AI67">
        <f t="shared" si="18"/>
        <v>1.78566103696014E-2</v>
      </c>
      <c r="AJ67">
        <f t="shared" si="19"/>
        <v>5.0842789339113514E-2</v>
      </c>
      <c r="AK67">
        <f t="shared" si="20"/>
        <v>-5.7991197459107025E-2</v>
      </c>
      <c r="AL67">
        <f t="shared" si="21"/>
        <v>0.3296364997704504</v>
      </c>
      <c r="AM67">
        <f t="shared" si="22"/>
        <v>9.7179172622818277E-3</v>
      </c>
      <c r="AN67">
        <f t="shared" si="23"/>
        <v>0.44513799850388019</v>
      </c>
      <c r="AO67">
        <f t="shared" si="24"/>
        <v>2.1925956923261214E-2</v>
      </c>
      <c r="AP67">
        <f t="shared" si="25"/>
        <v>5.4480729352539503E-2</v>
      </c>
    </row>
    <row r="68" spans="1:42" s="10" customFormat="1" x14ac:dyDescent="0.25">
      <c r="A68" s="10" t="s">
        <v>60</v>
      </c>
      <c r="M68" s="10">
        <f>AVERAGE(M58:M67)</f>
        <v>0.76612652790216551</v>
      </c>
      <c r="N68" s="10">
        <f t="shared" ref="N68" si="52">AVERAGE(N58:N67)</f>
        <v>0.62791238848594222</v>
      </c>
      <c r="O68" s="10">
        <f t="shared" ref="O68" si="53">AVERAGE(O58:O67)</f>
        <v>0.61550511522766405</v>
      </c>
      <c r="P68" s="10">
        <f t="shared" ref="P68" si="54">AVERAGE(P58:P67)</f>
        <v>0.61641609256815388</v>
      </c>
      <c r="Q68" s="10">
        <f t="shared" ref="Q68" si="55">AVERAGE(Q58:Q67)</f>
        <v>0.66231556274729242</v>
      </c>
      <c r="R68" s="10">
        <f t="shared" ref="R68" si="56">AVERAGE(R58:R67)</f>
        <v>0.68594548499287933</v>
      </c>
      <c r="S68" s="10">
        <f t="shared" ref="S68" si="57">AVERAGE(S58:S67)</f>
        <v>0.54017192614513654</v>
      </c>
      <c r="T68" s="10">
        <f t="shared" ref="T68" si="58">AVERAGE(T58:T67)</f>
        <v>0.71740449865518152</v>
      </c>
      <c r="U68" s="10">
        <f t="shared" ref="U68" si="59">AVERAGE(U58:U67)</f>
        <v>0.62344381089451861</v>
      </c>
      <c r="X68" s="10">
        <f>((M68-N68)/N68)*100</f>
        <v>22.011691750419676</v>
      </c>
      <c r="Y68" s="10">
        <f>((M68-O68)/O68)*100</f>
        <v>24.471187801386407</v>
      </c>
      <c r="Z68" s="10">
        <f>((M68-P68)/P68)*100</f>
        <v>24.287236679736573</v>
      </c>
      <c r="AA68" s="10">
        <f>((M68-Q68)/Q68)*100</f>
        <v>15.673943206809762</v>
      </c>
      <c r="AB68" s="10">
        <f>((M68-R68)/R68)*100</f>
        <v>11.689127585717475</v>
      </c>
      <c r="AC68" s="10">
        <f>((M68-S68)/S68)*100</f>
        <v>41.830126820829669</v>
      </c>
      <c r="AD68" s="10">
        <f>((M68-T68)/T68)*100</f>
        <v>6.7914306835706224</v>
      </c>
      <c r="AE68" s="10">
        <f>((M68-U68)/U68)*100</f>
        <v>22.88621917714211</v>
      </c>
      <c r="AI68" s="10">
        <f t="shared" ref="AI68:AI131" si="60">B68-C68</f>
        <v>0</v>
      </c>
      <c r="AJ68" s="10">
        <f t="shared" ref="AJ68:AJ131" si="61">B68-D68</f>
        <v>0</v>
      </c>
      <c r="AK68" s="10">
        <f t="shared" ref="AK68:AK131" si="62">B68-E68</f>
        <v>0</v>
      </c>
      <c r="AL68" s="10">
        <f t="shared" ref="AL68:AL131" si="63">B68-F68</f>
        <v>0</v>
      </c>
      <c r="AM68" s="10">
        <f t="shared" ref="AM68:AM131" si="64">B68-G68</f>
        <v>0</v>
      </c>
      <c r="AN68" s="10">
        <f t="shared" ref="AN68:AN131" si="65">B68-H68</f>
        <v>0</v>
      </c>
      <c r="AO68" s="10">
        <f t="shared" ref="AO68:AO131" si="66">B68-I68</f>
        <v>0</v>
      </c>
      <c r="AP68" s="10">
        <f t="shared" ref="AP68:AP131" si="67">B68-J68</f>
        <v>0</v>
      </c>
    </row>
    <row r="69" spans="1:42" x14ac:dyDescent="0.25">
      <c r="A69">
        <v>0.16270000000000001</v>
      </c>
      <c r="B69">
        <v>0.53473884884842016</v>
      </c>
      <c r="C69">
        <v>0.35342359895086811</v>
      </c>
      <c r="D69">
        <v>0.30562081842501959</v>
      </c>
      <c r="E69">
        <v>0.18683952891472641</v>
      </c>
      <c r="F69">
        <v>0.59976243776169613</v>
      </c>
      <c r="G69">
        <v>0.33567343298489699</v>
      </c>
      <c r="H69">
        <v>0.35672612216165012</v>
      </c>
      <c r="I69">
        <v>0.56491382624287534</v>
      </c>
      <c r="J69">
        <v>0.36044525985717679</v>
      </c>
      <c r="M69">
        <f t="shared" ref="M69:M130" si="68">(B69+1)/2</f>
        <v>0.76736942442421008</v>
      </c>
      <c r="N69">
        <f t="shared" ref="N69:N130" si="69">(C69+1)/2</f>
        <v>0.67671179947543403</v>
      </c>
      <c r="O69">
        <f t="shared" ref="O69:O130" si="70">(D69+1)/2</f>
        <v>0.65281040921250977</v>
      </c>
      <c r="P69">
        <f t="shared" ref="P69:P130" si="71">(E69+1)/2</f>
        <v>0.59341976445736322</v>
      </c>
      <c r="Q69">
        <f t="shared" ref="Q69:Q130" si="72">(F69+1)/2</f>
        <v>0.79988121888084807</v>
      </c>
      <c r="R69">
        <f t="shared" ref="R69:R130" si="73">(G69+1)/2</f>
        <v>0.66783671649244847</v>
      </c>
      <c r="S69">
        <f t="shared" ref="S69:S130" si="74">(H69+1)/2</f>
        <v>0.67836306108082511</v>
      </c>
      <c r="T69">
        <f t="shared" ref="T69:T130" si="75">(I69+1)/2</f>
        <v>0.78245691312143761</v>
      </c>
      <c r="U69">
        <f t="shared" ref="U69:U130" si="76">(J69+1)/2</f>
        <v>0.6802226299285884</v>
      </c>
      <c r="X69">
        <f t="shared" ref="X69:X131" si="77">M69-N69</f>
        <v>9.065762494877605E-2</v>
      </c>
      <c r="Y69">
        <f t="shared" ref="Y69:Y131" si="78">M69-O69</f>
        <v>0.11455901521170031</v>
      </c>
      <c r="Z69">
        <f t="shared" ref="Z69:Z131" si="79">M69-P69</f>
        <v>0.17394965996684686</v>
      </c>
      <c r="AA69">
        <f t="shared" ref="AA69:AA131" si="80">M69-Q69</f>
        <v>-3.2511794456637988E-2</v>
      </c>
      <c r="AB69">
        <f t="shared" ref="AB69:AB131" si="81">M69-R69</f>
        <v>9.953270793176161E-2</v>
      </c>
      <c r="AC69">
        <f t="shared" ref="AC69:AC131" si="82">M69-S69</f>
        <v>8.9006363343384964E-2</v>
      </c>
      <c r="AD69">
        <f t="shared" ref="AD69:AD131" si="83">M69-T69</f>
        <v>-1.5087488697227536E-2</v>
      </c>
      <c r="AE69">
        <f t="shared" ref="AE69:AE131" si="84">M69-U69</f>
        <v>8.7146794495621682E-2</v>
      </c>
      <c r="AI69">
        <f t="shared" si="60"/>
        <v>0.18131524989755204</v>
      </c>
      <c r="AJ69">
        <f t="shared" si="61"/>
        <v>0.22911803042340056</v>
      </c>
      <c r="AK69">
        <f t="shared" si="62"/>
        <v>0.34789931993369372</v>
      </c>
      <c r="AL69">
        <f t="shared" si="63"/>
        <v>-6.5023588913275976E-2</v>
      </c>
      <c r="AM69">
        <f t="shared" si="64"/>
        <v>0.19906541586352317</v>
      </c>
      <c r="AN69">
        <f t="shared" si="65"/>
        <v>0.17801272668677004</v>
      </c>
      <c r="AO69">
        <f t="shared" si="66"/>
        <v>-3.0174977394455182E-2</v>
      </c>
      <c r="AP69">
        <f t="shared" si="67"/>
        <v>0.17429358899124336</v>
      </c>
    </row>
    <row r="70" spans="1:42" x14ac:dyDescent="0.25">
      <c r="A70">
        <v>0.19889999999999999</v>
      </c>
      <c r="B70">
        <v>0.51138780741399137</v>
      </c>
      <c r="C70">
        <v>0.41895910074308201</v>
      </c>
      <c r="D70">
        <v>0.37119463387253337</v>
      </c>
      <c r="E70">
        <v>0.28319702181414508</v>
      </c>
      <c r="F70">
        <v>0.57669465169393863</v>
      </c>
      <c r="G70">
        <v>0.35204774678903827</v>
      </c>
      <c r="H70">
        <v>0.33567343298489699</v>
      </c>
      <c r="I70">
        <v>0.58596651541962852</v>
      </c>
      <c r="J70">
        <v>0.43066186892026309</v>
      </c>
      <c r="M70">
        <f t="shared" si="68"/>
        <v>0.75569390370699563</v>
      </c>
      <c r="N70">
        <f t="shared" si="69"/>
        <v>0.70947955037154098</v>
      </c>
      <c r="O70">
        <f t="shared" si="70"/>
        <v>0.68559731693626669</v>
      </c>
      <c r="P70">
        <f t="shared" si="71"/>
        <v>0.64159851090707254</v>
      </c>
      <c r="Q70">
        <f t="shared" si="72"/>
        <v>0.78834732584696932</v>
      </c>
      <c r="R70">
        <f t="shared" si="73"/>
        <v>0.67602387339451919</v>
      </c>
      <c r="S70">
        <f t="shared" si="74"/>
        <v>0.66783671649244847</v>
      </c>
      <c r="T70">
        <f t="shared" si="75"/>
        <v>0.79298325770981426</v>
      </c>
      <c r="U70">
        <f t="shared" si="76"/>
        <v>0.71533093446013152</v>
      </c>
      <c r="X70">
        <f t="shared" si="77"/>
        <v>4.621435333545465E-2</v>
      </c>
      <c r="Y70">
        <f t="shared" si="78"/>
        <v>7.0096586770728941E-2</v>
      </c>
      <c r="Z70">
        <f t="shared" si="79"/>
        <v>0.11409539279992309</v>
      </c>
      <c r="AA70">
        <f t="shared" si="80"/>
        <v>-3.2653422139973687E-2</v>
      </c>
      <c r="AB70">
        <f t="shared" si="81"/>
        <v>7.9670030312476436E-2</v>
      </c>
      <c r="AC70">
        <f t="shared" si="82"/>
        <v>8.7857187214547161E-2</v>
      </c>
      <c r="AD70">
        <f t="shared" si="83"/>
        <v>-3.7289354002818631E-2</v>
      </c>
      <c r="AE70">
        <f t="shared" si="84"/>
        <v>4.0362969246864111E-2</v>
      </c>
      <c r="AI70">
        <f t="shared" si="60"/>
        <v>9.2428706670909355E-2</v>
      </c>
      <c r="AJ70">
        <f t="shared" si="61"/>
        <v>0.14019317354145799</v>
      </c>
      <c r="AK70">
        <f t="shared" si="62"/>
        <v>0.22819078559984629</v>
      </c>
      <c r="AL70">
        <f t="shared" si="63"/>
        <v>-6.5306844279947263E-2</v>
      </c>
      <c r="AM70">
        <f t="shared" si="64"/>
        <v>0.15934006062495309</v>
      </c>
      <c r="AN70">
        <f t="shared" si="65"/>
        <v>0.17571437442909438</v>
      </c>
      <c r="AO70">
        <f t="shared" si="66"/>
        <v>-7.4578708005637151E-2</v>
      </c>
      <c r="AP70">
        <f t="shared" si="67"/>
        <v>8.0725938493728278E-2</v>
      </c>
    </row>
    <row r="71" spans="1:42" x14ac:dyDescent="0.25">
      <c r="A71">
        <v>0.23499999999999999</v>
      </c>
      <c r="B71">
        <v>0.5489525403396146</v>
      </c>
      <c r="C71">
        <v>0.44392523364485981</v>
      </c>
      <c r="D71">
        <v>0.396259565048312</v>
      </c>
      <c r="E71">
        <v>0.33196760717250412</v>
      </c>
      <c r="F71">
        <v>0.53106775352937341</v>
      </c>
      <c r="G71">
        <v>0.39229428751024847</v>
      </c>
      <c r="H71">
        <v>0.2848803754538709</v>
      </c>
      <c r="I71">
        <v>0.57443092099714954</v>
      </c>
      <c r="J71">
        <v>0.4509345794392523</v>
      </c>
      <c r="M71">
        <f t="shared" si="68"/>
        <v>0.77447627016980736</v>
      </c>
      <c r="N71">
        <f t="shared" si="69"/>
        <v>0.7219626168224299</v>
      </c>
      <c r="O71">
        <f t="shared" si="70"/>
        <v>0.69812978252415603</v>
      </c>
      <c r="P71">
        <f t="shared" si="71"/>
        <v>0.66598380358625209</v>
      </c>
      <c r="Q71">
        <f t="shared" si="72"/>
        <v>0.76553387676468665</v>
      </c>
      <c r="R71">
        <f t="shared" si="73"/>
        <v>0.69614714375512421</v>
      </c>
      <c r="S71">
        <f t="shared" si="74"/>
        <v>0.64244018772693545</v>
      </c>
      <c r="T71">
        <f t="shared" si="75"/>
        <v>0.78721546049857483</v>
      </c>
      <c r="U71">
        <f t="shared" si="76"/>
        <v>0.72546728971962615</v>
      </c>
      <c r="X71">
        <f t="shared" si="77"/>
        <v>5.2513653347377454E-2</v>
      </c>
      <c r="Y71">
        <f t="shared" si="78"/>
        <v>7.6346487645651329E-2</v>
      </c>
      <c r="Z71">
        <f t="shared" si="79"/>
        <v>0.10849246658355527</v>
      </c>
      <c r="AA71">
        <f t="shared" si="80"/>
        <v>8.9423934051207077E-3</v>
      </c>
      <c r="AB71">
        <f t="shared" si="81"/>
        <v>7.8329126414683148E-2</v>
      </c>
      <c r="AC71">
        <f t="shared" si="82"/>
        <v>0.1320360824428719</v>
      </c>
      <c r="AD71">
        <f t="shared" si="83"/>
        <v>-1.2739190328767469E-2</v>
      </c>
      <c r="AE71">
        <f t="shared" si="84"/>
        <v>4.9008980450181205E-2</v>
      </c>
      <c r="AI71">
        <f t="shared" si="60"/>
        <v>0.1050273066947548</v>
      </c>
      <c r="AJ71">
        <f t="shared" si="61"/>
        <v>0.1526929752913026</v>
      </c>
      <c r="AK71">
        <f t="shared" si="62"/>
        <v>0.21698493316711048</v>
      </c>
      <c r="AL71">
        <f t="shared" si="63"/>
        <v>1.7884786810241193E-2</v>
      </c>
      <c r="AM71">
        <f t="shared" si="64"/>
        <v>0.15665825282936613</v>
      </c>
      <c r="AN71">
        <f t="shared" si="65"/>
        <v>0.2640721648857437</v>
      </c>
      <c r="AO71">
        <f t="shared" si="66"/>
        <v>-2.5478380657534938E-2</v>
      </c>
      <c r="AP71">
        <f t="shared" si="67"/>
        <v>9.80179609003623E-2</v>
      </c>
    </row>
    <row r="72" spans="1:42" x14ac:dyDescent="0.25">
      <c r="A72">
        <v>0.2712</v>
      </c>
      <c r="B72">
        <v>0.59557271361686437</v>
      </c>
      <c r="C72">
        <v>0.4614485981308411</v>
      </c>
      <c r="D72">
        <v>0.40444191594901457</v>
      </c>
      <c r="E72">
        <v>0.29560366433735352</v>
      </c>
      <c r="F72">
        <v>0.59151448970344855</v>
      </c>
      <c r="G72">
        <v>0.32224173616913271</v>
      </c>
      <c r="H72">
        <v>0.35960309688439451</v>
      </c>
      <c r="I72">
        <v>0.61412736675711521</v>
      </c>
      <c r="J72">
        <v>0.4684579439252336</v>
      </c>
      <c r="M72">
        <f t="shared" si="68"/>
        <v>0.79778635680843224</v>
      </c>
      <c r="N72">
        <f t="shared" si="69"/>
        <v>0.73072429906542058</v>
      </c>
      <c r="O72">
        <f t="shared" si="70"/>
        <v>0.70222095797450734</v>
      </c>
      <c r="P72">
        <f t="shared" si="71"/>
        <v>0.64780183216867671</v>
      </c>
      <c r="Q72">
        <f t="shared" si="72"/>
        <v>0.79575724485172428</v>
      </c>
      <c r="R72">
        <f t="shared" si="73"/>
        <v>0.66112086808456638</v>
      </c>
      <c r="S72">
        <f t="shared" si="74"/>
        <v>0.67980154844219731</v>
      </c>
      <c r="T72">
        <f t="shared" si="75"/>
        <v>0.80706368337855761</v>
      </c>
      <c r="U72">
        <f t="shared" si="76"/>
        <v>0.73422897196261683</v>
      </c>
      <c r="X72">
        <f t="shared" si="77"/>
        <v>6.706205774301166E-2</v>
      </c>
      <c r="Y72">
        <f t="shared" si="78"/>
        <v>9.5565398833924897E-2</v>
      </c>
      <c r="Z72">
        <f t="shared" si="79"/>
        <v>0.14998452463975553</v>
      </c>
      <c r="AA72">
        <f t="shared" si="80"/>
        <v>2.029111956707963E-3</v>
      </c>
      <c r="AB72">
        <f t="shared" si="81"/>
        <v>0.13666548872386586</v>
      </c>
      <c r="AC72">
        <f t="shared" si="82"/>
        <v>0.11798480836623493</v>
      </c>
      <c r="AD72">
        <f t="shared" si="83"/>
        <v>-9.277326570125366E-3</v>
      </c>
      <c r="AE72">
        <f t="shared" si="84"/>
        <v>6.3557384845815412E-2</v>
      </c>
      <c r="AI72">
        <f t="shared" si="60"/>
        <v>0.13412411548602327</v>
      </c>
      <c r="AJ72">
        <f t="shared" si="61"/>
        <v>0.19113079766784979</v>
      </c>
      <c r="AK72">
        <f t="shared" si="62"/>
        <v>0.29996904927951085</v>
      </c>
      <c r="AL72">
        <f t="shared" si="63"/>
        <v>4.0582239134158149E-3</v>
      </c>
      <c r="AM72">
        <f t="shared" si="64"/>
        <v>0.27333097744773166</v>
      </c>
      <c r="AN72">
        <f t="shared" si="65"/>
        <v>0.23596961673246986</v>
      </c>
      <c r="AO72">
        <f t="shared" si="66"/>
        <v>-1.8554653140250843E-2</v>
      </c>
      <c r="AP72">
        <f t="shared" si="67"/>
        <v>0.12711476969163077</v>
      </c>
    </row>
    <row r="73" spans="1:42" x14ac:dyDescent="0.25">
      <c r="A73">
        <v>0.30730000000000002</v>
      </c>
      <c r="B73">
        <v>0.6623985862210916</v>
      </c>
      <c r="C73">
        <v>0.4282383312105244</v>
      </c>
      <c r="D73">
        <v>0.38061938113050148</v>
      </c>
      <c r="E73">
        <v>0.43820175557979768</v>
      </c>
      <c r="F73">
        <v>0.43700900657530578</v>
      </c>
      <c r="G73">
        <v>0.44081640146817042</v>
      </c>
      <c r="H73">
        <v>0.17959186726481011</v>
      </c>
      <c r="I73">
        <v>0.60874645917033054</v>
      </c>
      <c r="J73">
        <v>0.42123715958310448</v>
      </c>
      <c r="M73">
        <f t="shared" si="68"/>
        <v>0.83119929311054586</v>
      </c>
      <c r="N73">
        <f t="shared" si="69"/>
        <v>0.71411916560526223</v>
      </c>
      <c r="O73">
        <f t="shared" si="70"/>
        <v>0.69030969056525071</v>
      </c>
      <c r="P73">
        <f t="shared" si="71"/>
        <v>0.71910087778989884</v>
      </c>
      <c r="Q73">
        <f t="shared" si="72"/>
        <v>0.71850450328765292</v>
      </c>
      <c r="R73">
        <f t="shared" si="73"/>
        <v>0.72040820073408518</v>
      </c>
      <c r="S73">
        <f t="shared" si="74"/>
        <v>0.58979593363240501</v>
      </c>
      <c r="T73">
        <f t="shared" si="75"/>
        <v>0.80437322958516533</v>
      </c>
      <c r="U73">
        <f t="shared" si="76"/>
        <v>0.7106185797915523</v>
      </c>
      <c r="X73">
        <f t="shared" si="77"/>
        <v>0.11708012750528363</v>
      </c>
      <c r="Y73">
        <f t="shared" si="78"/>
        <v>0.14088960254529515</v>
      </c>
      <c r="Z73">
        <f t="shared" si="79"/>
        <v>0.11209841532064702</v>
      </c>
      <c r="AA73">
        <f t="shared" si="80"/>
        <v>0.11269478982289294</v>
      </c>
      <c r="AB73">
        <f t="shared" si="81"/>
        <v>0.11079109237646068</v>
      </c>
      <c r="AC73">
        <f t="shared" si="82"/>
        <v>0.24140335947814084</v>
      </c>
      <c r="AD73">
        <f t="shared" si="83"/>
        <v>2.6826063525380528E-2</v>
      </c>
      <c r="AE73">
        <f t="shared" si="84"/>
        <v>0.12058071331899356</v>
      </c>
      <c r="AI73">
        <f t="shared" si="60"/>
        <v>0.2341602550105672</v>
      </c>
      <c r="AJ73">
        <f t="shared" si="61"/>
        <v>0.28177920509059012</v>
      </c>
      <c r="AK73">
        <f t="shared" si="62"/>
        <v>0.22419683064129392</v>
      </c>
      <c r="AL73">
        <f t="shared" si="63"/>
        <v>0.22538957964578582</v>
      </c>
      <c r="AM73">
        <f t="shared" si="64"/>
        <v>0.22158218475292119</v>
      </c>
      <c r="AN73">
        <f t="shared" si="65"/>
        <v>0.48280671895628147</v>
      </c>
      <c r="AO73">
        <f t="shared" si="66"/>
        <v>5.3652127050761056E-2</v>
      </c>
      <c r="AP73">
        <f t="shared" si="67"/>
        <v>0.24116142663798712</v>
      </c>
    </row>
    <row r="74" spans="1:42" x14ac:dyDescent="0.25">
      <c r="A74">
        <v>0.34350000000000003</v>
      </c>
      <c r="B74">
        <v>0.663953488372093</v>
      </c>
      <c r="C74">
        <v>0.39743697718855331</v>
      </c>
      <c r="D74">
        <v>0.33119674284289119</v>
      </c>
      <c r="E74">
        <v>0.48450389234191871</v>
      </c>
      <c r="F74">
        <v>0.41352684706191661</v>
      </c>
      <c r="G74">
        <v>0.54746734701867616</v>
      </c>
      <c r="H74">
        <v>0.1700643248185674</v>
      </c>
      <c r="I74">
        <v>0.57542312644090643</v>
      </c>
      <c r="J74">
        <v>0.3997679858524158</v>
      </c>
      <c r="M74">
        <f t="shared" si="68"/>
        <v>0.8319767441860465</v>
      </c>
      <c r="N74">
        <f t="shared" si="69"/>
        <v>0.69871848859427665</v>
      </c>
      <c r="O74">
        <f t="shared" si="70"/>
        <v>0.66559837142144562</v>
      </c>
      <c r="P74">
        <f t="shared" si="71"/>
        <v>0.74225194617095935</v>
      </c>
      <c r="Q74">
        <f t="shared" si="72"/>
        <v>0.70676342353095833</v>
      </c>
      <c r="R74">
        <f t="shared" si="73"/>
        <v>0.77373367350933808</v>
      </c>
      <c r="S74">
        <f t="shared" si="74"/>
        <v>0.58503216240928368</v>
      </c>
      <c r="T74">
        <f t="shared" si="75"/>
        <v>0.78771156322045321</v>
      </c>
      <c r="U74">
        <f t="shared" si="76"/>
        <v>0.69988399292620795</v>
      </c>
      <c r="X74">
        <f t="shared" si="77"/>
        <v>0.13325825559176985</v>
      </c>
      <c r="Y74">
        <f t="shared" si="78"/>
        <v>0.16637837276460088</v>
      </c>
      <c r="Z74">
        <f t="shared" si="79"/>
        <v>8.9724798015087148E-2</v>
      </c>
      <c r="AA74">
        <f t="shared" si="80"/>
        <v>0.12521332065508817</v>
      </c>
      <c r="AB74">
        <f t="shared" si="81"/>
        <v>5.8243070676708419E-2</v>
      </c>
      <c r="AC74">
        <f t="shared" si="82"/>
        <v>0.24694458177676282</v>
      </c>
      <c r="AD74">
        <f t="shared" si="83"/>
        <v>4.4265180965593287E-2</v>
      </c>
      <c r="AE74">
        <f t="shared" si="84"/>
        <v>0.13209275125983855</v>
      </c>
      <c r="AI74">
        <f t="shared" si="60"/>
        <v>0.26651651118353969</v>
      </c>
      <c r="AJ74">
        <f t="shared" si="61"/>
        <v>0.33275674552920181</v>
      </c>
      <c r="AK74">
        <f t="shared" si="62"/>
        <v>0.1794495960301743</v>
      </c>
      <c r="AL74">
        <f t="shared" si="63"/>
        <v>0.25042664131017639</v>
      </c>
      <c r="AM74">
        <f t="shared" si="64"/>
        <v>0.11648614135341684</v>
      </c>
      <c r="AN74">
        <f t="shared" si="65"/>
        <v>0.49388916355352563</v>
      </c>
      <c r="AO74">
        <f t="shared" si="66"/>
        <v>8.8530361931186574E-2</v>
      </c>
      <c r="AP74">
        <f t="shared" si="67"/>
        <v>0.26418550251967721</v>
      </c>
    </row>
    <row r="75" spans="1:42" x14ac:dyDescent="0.25">
      <c r="A75">
        <v>0.37959999999999999</v>
      </c>
      <c r="B75">
        <v>0.58474171958164978</v>
      </c>
      <c r="C75">
        <v>0.4483363285831411</v>
      </c>
      <c r="D75">
        <v>0.3960283076226927</v>
      </c>
      <c r="E75">
        <v>0.62017094537703388</v>
      </c>
      <c r="F75">
        <v>0.28911198430230478</v>
      </c>
      <c r="G75">
        <v>0.45157526254375729</v>
      </c>
      <c r="H75">
        <v>8.2847141190198301E-2</v>
      </c>
      <c r="I75">
        <v>0.51458576429404901</v>
      </c>
      <c r="J75">
        <v>0.43666090335962188</v>
      </c>
      <c r="M75">
        <f t="shared" si="68"/>
        <v>0.79237085979082489</v>
      </c>
      <c r="N75">
        <f t="shared" si="69"/>
        <v>0.72416816429157049</v>
      </c>
      <c r="O75">
        <f t="shared" si="70"/>
        <v>0.69801415381134635</v>
      </c>
      <c r="P75">
        <f t="shared" si="71"/>
        <v>0.81008547268851694</v>
      </c>
      <c r="Q75">
        <f t="shared" si="72"/>
        <v>0.64455599215115233</v>
      </c>
      <c r="R75">
        <f t="shared" si="73"/>
        <v>0.72578763127187862</v>
      </c>
      <c r="S75">
        <f t="shared" si="74"/>
        <v>0.54142357059509916</v>
      </c>
      <c r="T75">
        <f t="shared" si="75"/>
        <v>0.7572928821470245</v>
      </c>
      <c r="U75">
        <f t="shared" si="76"/>
        <v>0.71833045167981091</v>
      </c>
      <c r="X75">
        <f t="shared" si="77"/>
        <v>6.8202695499254395E-2</v>
      </c>
      <c r="Y75">
        <f t="shared" si="78"/>
        <v>9.4356705979478539E-2</v>
      </c>
      <c r="Z75">
        <f t="shared" si="79"/>
        <v>-1.771461289769205E-2</v>
      </c>
      <c r="AA75">
        <f t="shared" si="80"/>
        <v>0.14781486763967255</v>
      </c>
      <c r="AB75">
        <f t="shared" si="81"/>
        <v>6.6583228518946269E-2</v>
      </c>
      <c r="AC75">
        <f t="shared" si="82"/>
        <v>0.25094728919572573</v>
      </c>
      <c r="AD75">
        <f t="shared" si="83"/>
        <v>3.5077977643800384E-2</v>
      </c>
      <c r="AE75">
        <f t="shared" si="84"/>
        <v>7.4040408111013978E-2</v>
      </c>
      <c r="AI75">
        <f t="shared" si="60"/>
        <v>0.13640539099850868</v>
      </c>
      <c r="AJ75">
        <f t="shared" si="61"/>
        <v>0.18871341195895708</v>
      </c>
      <c r="AK75">
        <f t="shared" si="62"/>
        <v>-3.5429225795384101E-2</v>
      </c>
      <c r="AL75">
        <f t="shared" si="63"/>
        <v>0.295629735279345</v>
      </c>
      <c r="AM75">
        <f t="shared" si="64"/>
        <v>0.13316645703789248</v>
      </c>
      <c r="AN75">
        <f t="shared" si="65"/>
        <v>0.50189457839145146</v>
      </c>
      <c r="AO75">
        <f t="shared" si="66"/>
        <v>7.0155955287600769E-2</v>
      </c>
      <c r="AP75">
        <f t="shared" si="67"/>
        <v>0.1480808162220279</v>
      </c>
    </row>
    <row r="76" spans="1:42" x14ac:dyDescent="0.25">
      <c r="A76">
        <v>0.4158</v>
      </c>
      <c r="B76">
        <v>0.61816107079683602</v>
      </c>
      <c r="C76">
        <v>0.47257908485085121</v>
      </c>
      <c r="D76">
        <v>0.41564570454741878</v>
      </c>
      <c r="E76">
        <v>0.62098109747939245</v>
      </c>
      <c r="F76">
        <v>0.31481898828944721</v>
      </c>
      <c r="G76">
        <v>0.48979600163130038</v>
      </c>
      <c r="H76">
        <v>0.10962100988891001</v>
      </c>
      <c r="I76">
        <v>0.53411087796937051</v>
      </c>
      <c r="J76">
        <v>0.4702453609750446</v>
      </c>
      <c r="M76">
        <f t="shared" si="68"/>
        <v>0.80908053539841807</v>
      </c>
      <c r="N76">
        <f t="shared" si="69"/>
        <v>0.73628954242542566</v>
      </c>
      <c r="O76">
        <f t="shared" si="70"/>
        <v>0.70782285227370934</v>
      </c>
      <c r="P76">
        <f t="shared" si="71"/>
        <v>0.81049054873969628</v>
      </c>
      <c r="Q76">
        <f t="shared" si="72"/>
        <v>0.65740949414472361</v>
      </c>
      <c r="R76">
        <f t="shared" si="73"/>
        <v>0.74489800081565016</v>
      </c>
      <c r="S76">
        <f t="shared" si="74"/>
        <v>0.55481050494445505</v>
      </c>
      <c r="T76">
        <f t="shared" si="75"/>
        <v>0.76705543898468531</v>
      </c>
      <c r="U76">
        <f t="shared" si="76"/>
        <v>0.73512268048752227</v>
      </c>
      <c r="X76">
        <f t="shared" si="77"/>
        <v>7.2790992972992408E-2</v>
      </c>
      <c r="Y76">
        <f t="shared" si="78"/>
        <v>0.10125768312470873</v>
      </c>
      <c r="Z76">
        <f t="shared" si="79"/>
        <v>-1.4100133412782156E-3</v>
      </c>
      <c r="AA76">
        <f t="shared" si="80"/>
        <v>0.15167104125369446</v>
      </c>
      <c r="AB76">
        <f t="shared" si="81"/>
        <v>6.4182534582767903E-2</v>
      </c>
      <c r="AC76">
        <f t="shared" si="82"/>
        <v>0.25427003045396301</v>
      </c>
      <c r="AD76">
        <f t="shared" si="83"/>
        <v>4.2025096413732754E-2</v>
      </c>
      <c r="AE76">
        <f t="shared" si="84"/>
        <v>7.3957854910895793E-2</v>
      </c>
      <c r="AI76">
        <f t="shared" si="60"/>
        <v>0.14558198594598482</v>
      </c>
      <c r="AJ76">
        <f t="shared" si="61"/>
        <v>0.20251536624941724</v>
      </c>
      <c r="AK76">
        <f t="shared" si="62"/>
        <v>-2.8200266825564313E-3</v>
      </c>
      <c r="AL76">
        <f t="shared" si="63"/>
        <v>0.30334208250738881</v>
      </c>
      <c r="AM76">
        <f t="shared" si="64"/>
        <v>0.12836506916553564</v>
      </c>
      <c r="AN76">
        <f t="shared" si="65"/>
        <v>0.50854006090792603</v>
      </c>
      <c r="AO76">
        <f t="shared" si="66"/>
        <v>8.4050192827465509E-2</v>
      </c>
      <c r="AP76">
        <f t="shared" si="67"/>
        <v>0.14791570982179142</v>
      </c>
    </row>
    <row r="77" spans="1:42" x14ac:dyDescent="0.25">
      <c r="A77">
        <v>0.45190000000000002</v>
      </c>
      <c r="B77">
        <v>0.55316685689186285</v>
      </c>
      <c r="C77">
        <v>0.40303024701383439</v>
      </c>
      <c r="D77">
        <v>0.33683189581148198</v>
      </c>
      <c r="E77">
        <v>0.63510335761592795</v>
      </c>
      <c r="F77">
        <v>0.28987465297482989</v>
      </c>
      <c r="G77">
        <v>0.44121190601873189</v>
      </c>
      <c r="H77">
        <v>0.1129223084005725</v>
      </c>
      <c r="I77">
        <v>0.5040758715200816</v>
      </c>
      <c r="J77">
        <v>0.41001921083488357</v>
      </c>
      <c r="M77">
        <f t="shared" si="68"/>
        <v>0.77658342844593142</v>
      </c>
      <c r="N77">
        <f t="shared" si="69"/>
        <v>0.70151512350691725</v>
      </c>
      <c r="O77">
        <f t="shared" si="70"/>
        <v>0.66841594790574099</v>
      </c>
      <c r="P77">
        <f t="shared" si="71"/>
        <v>0.81755167880796398</v>
      </c>
      <c r="Q77">
        <f t="shared" si="72"/>
        <v>0.64493732648741497</v>
      </c>
      <c r="R77">
        <f t="shared" si="73"/>
        <v>0.72060595300936592</v>
      </c>
      <c r="S77">
        <f t="shared" si="74"/>
        <v>0.5564611542002863</v>
      </c>
      <c r="T77">
        <f t="shared" si="75"/>
        <v>0.75203793576004085</v>
      </c>
      <c r="U77">
        <f t="shared" si="76"/>
        <v>0.70500960541744173</v>
      </c>
      <c r="X77">
        <f t="shared" si="77"/>
        <v>7.5068304939014174E-2</v>
      </c>
      <c r="Y77">
        <f t="shared" si="78"/>
        <v>0.10816748054019043</v>
      </c>
      <c r="Z77">
        <f t="shared" si="79"/>
        <v>-4.0968250362032554E-2</v>
      </c>
      <c r="AA77">
        <f t="shared" si="80"/>
        <v>0.13164610195851645</v>
      </c>
      <c r="AB77">
        <f t="shared" si="81"/>
        <v>5.5977475436565505E-2</v>
      </c>
      <c r="AC77">
        <f t="shared" si="82"/>
        <v>0.22012227424564512</v>
      </c>
      <c r="AD77">
        <f t="shared" si="83"/>
        <v>2.4545492685890569E-2</v>
      </c>
      <c r="AE77">
        <f t="shared" si="84"/>
        <v>7.1573823028489691E-2</v>
      </c>
      <c r="AI77">
        <f t="shared" si="60"/>
        <v>0.15013660987802846</v>
      </c>
      <c r="AJ77">
        <f t="shared" si="61"/>
        <v>0.21633496108038086</v>
      </c>
      <c r="AK77">
        <f t="shared" si="62"/>
        <v>-8.1936500724065109E-2</v>
      </c>
      <c r="AL77">
        <f t="shared" si="63"/>
        <v>0.26329220391703295</v>
      </c>
      <c r="AM77">
        <f t="shared" si="64"/>
        <v>0.11195495087313095</v>
      </c>
      <c r="AN77">
        <f t="shared" si="65"/>
        <v>0.44024454849129036</v>
      </c>
      <c r="AO77">
        <f t="shared" si="66"/>
        <v>4.9090985371781248E-2</v>
      </c>
      <c r="AP77">
        <f t="shared" si="67"/>
        <v>0.14314764605697927</v>
      </c>
    </row>
    <row r="78" spans="1:42" x14ac:dyDescent="0.25">
      <c r="A78">
        <v>0.48809999999999998</v>
      </c>
      <c r="B78">
        <v>0.53922147394500908</v>
      </c>
      <c r="C78">
        <v>0.44729368454714569</v>
      </c>
      <c r="D78">
        <v>0.35781104503157429</v>
      </c>
      <c r="E78">
        <v>0.64679955204716055</v>
      </c>
      <c r="F78">
        <v>0.28987465297482989</v>
      </c>
      <c r="G78">
        <v>0.43888361100016338</v>
      </c>
      <c r="H78">
        <v>0.13853355360482611</v>
      </c>
      <c r="I78">
        <v>0.48312121635296501</v>
      </c>
      <c r="J78">
        <v>0.43564541151206382</v>
      </c>
      <c r="M78">
        <f t="shared" si="68"/>
        <v>0.76961073697250448</v>
      </c>
      <c r="N78">
        <f t="shared" si="69"/>
        <v>0.7236468422735729</v>
      </c>
      <c r="O78">
        <f t="shared" si="70"/>
        <v>0.67890552251578717</v>
      </c>
      <c r="P78">
        <f t="shared" si="71"/>
        <v>0.82339977602358028</v>
      </c>
      <c r="Q78">
        <f t="shared" si="72"/>
        <v>0.64493732648741497</v>
      </c>
      <c r="R78">
        <f t="shared" si="73"/>
        <v>0.71944180550008174</v>
      </c>
      <c r="S78">
        <f t="shared" si="74"/>
        <v>0.56926677680241311</v>
      </c>
      <c r="T78">
        <f t="shared" si="75"/>
        <v>0.74156060817648251</v>
      </c>
      <c r="U78">
        <f t="shared" si="76"/>
        <v>0.71782270575603191</v>
      </c>
      <c r="X78">
        <f t="shared" si="77"/>
        <v>4.5963894698931584E-2</v>
      </c>
      <c r="Y78">
        <f t="shared" si="78"/>
        <v>9.0705214456717309E-2</v>
      </c>
      <c r="Z78">
        <f t="shared" si="79"/>
        <v>-5.3789039051075793E-2</v>
      </c>
      <c r="AA78">
        <f t="shared" si="80"/>
        <v>0.12467341048508951</v>
      </c>
      <c r="AB78">
        <f t="shared" si="81"/>
        <v>5.016893147242274E-2</v>
      </c>
      <c r="AC78">
        <f t="shared" si="82"/>
        <v>0.20034396017009137</v>
      </c>
      <c r="AD78">
        <f t="shared" si="83"/>
        <v>2.8050128796021978E-2</v>
      </c>
      <c r="AE78">
        <f t="shared" si="84"/>
        <v>5.1788031216472574E-2</v>
      </c>
      <c r="AF78">
        <f>COUNT(X69:X78)</f>
        <v>10</v>
      </c>
      <c r="AI78">
        <f t="shared" si="60"/>
        <v>9.1927789397863391E-2</v>
      </c>
      <c r="AJ78">
        <f t="shared" si="61"/>
        <v>0.18141042891343478</v>
      </c>
      <c r="AK78">
        <f t="shared" si="62"/>
        <v>-0.10757807810215148</v>
      </c>
      <c r="AL78">
        <f t="shared" si="63"/>
        <v>0.24934682097017918</v>
      </c>
      <c r="AM78">
        <f t="shared" si="64"/>
        <v>0.1003378629448457</v>
      </c>
      <c r="AN78">
        <f t="shared" si="65"/>
        <v>0.40068792034018297</v>
      </c>
      <c r="AO78">
        <f t="shared" si="66"/>
        <v>5.6100257592044067E-2</v>
      </c>
      <c r="AP78">
        <f t="shared" si="67"/>
        <v>0.10357606243294526</v>
      </c>
    </row>
    <row r="79" spans="1:42" s="10" customFormat="1" x14ac:dyDescent="0.25">
      <c r="A79" s="10" t="s">
        <v>61</v>
      </c>
      <c r="M79" s="10">
        <f>AVERAGE(M69:M78)</f>
        <v>0.79061475530137171</v>
      </c>
      <c r="N79" s="10">
        <f t="shared" ref="N79" si="85">AVERAGE(N69:N78)</f>
        <v>0.71373355924318505</v>
      </c>
      <c r="O79" s="10">
        <f t="shared" ref="O79" si="86">AVERAGE(O69:O78)</f>
        <v>0.68478250051407197</v>
      </c>
      <c r="P79" s="10">
        <f t="shared" ref="P79" si="87">AVERAGE(P69:P78)</f>
        <v>0.72716842113399793</v>
      </c>
      <c r="Q79" s="10">
        <f t="shared" ref="Q79" si="88">AVERAGE(Q69:Q78)</f>
        <v>0.71666277324335448</v>
      </c>
      <c r="R79" s="10">
        <f t="shared" ref="R79" si="89">AVERAGE(R69:R78)</f>
        <v>0.71060038665670577</v>
      </c>
      <c r="S79" s="10">
        <f t="shared" ref="S79" si="90">AVERAGE(S69:S78)</f>
        <v>0.60652316163263487</v>
      </c>
      <c r="T79" s="10">
        <f t="shared" ref="T79" si="91">AVERAGE(T69:T78)</f>
        <v>0.77797509725822356</v>
      </c>
      <c r="U79" s="10">
        <f t="shared" ref="U79" si="92">AVERAGE(U69:U78)</f>
        <v>0.71420378421295294</v>
      </c>
      <c r="X79" s="10">
        <f>((M79-N79)/N79)*100</f>
        <v>10.771694151485388</v>
      </c>
      <c r="Y79" s="10">
        <f>((M79-O79)/O79)*100</f>
        <v>15.454871394618083</v>
      </c>
      <c r="Z79" s="10">
        <f>((M79-P79)/P79)*100</f>
        <v>8.7251223132642455</v>
      </c>
      <c r="AA79" s="10">
        <f>((M79-Q79)/Q79)*100</f>
        <v>10.318937276920011</v>
      </c>
      <c r="AB79" s="10">
        <f>((M79-R79)/R79)*100</f>
        <v>11.260107670518513</v>
      </c>
      <c r="AC79" s="10">
        <f>((M79-S79)/S79)*100</f>
        <v>30.351947842057729</v>
      </c>
      <c r="AD79" s="10">
        <f>((M79-T79)/T79)*100</f>
        <v>1.6246867139698209</v>
      </c>
      <c r="AE79" s="10">
        <f>((M79-U79)/U79)*100</f>
        <v>10.698763122996201</v>
      </c>
      <c r="AI79" s="10">
        <f t="shared" si="60"/>
        <v>0</v>
      </c>
      <c r="AJ79" s="10">
        <f t="shared" si="61"/>
        <v>0</v>
      </c>
      <c r="AK79" s="10">
        <f t="shared" si="62"/>
        <v>0</v>
      </c>
      <c r="AL79" s="10">
        <f t="shared" si="63"/>
        <v>0</v>
      </c>
      <c r="AM79" s="10">
        <f t="shared" si="64"/>
        <v>0</v>
      </c>
      <c r="AN79" s="10">
        <f t="shared" si="65"/>
        <v>0</v>
      </c>
      <c r="AO79" s="10">
        <f t="shared" si="66"/>
        <v>0</v>
      </c>
      <c r="AP79" s="10">
        <f t="shared" si="67"/>
        <v>0</v>
      </c>
    </row>
    <row r="80" spans="1:42" x14ac:dyDescent="0.25">
      <c r="A80">
        <v>0.33729999999999999</v>
      </c>
      <c r="B80">
        <v>0.64518490088759306</v>
      </c>
      <c r="C80">
        <v>0.2347622668662773</v>
      </c>
      <c r="D80">
        <v>5.7498213708607901E-2</v>
      </c>
      <c r="E80">
        <v>0.26200744060489328</v>
      </c>
      <c r="F80">
        <v>0.54573508190315612</v>
      </c>
      <c r="G80">
        <v>0.3703516982374993</v>
      </c>
      <c r="H80">
        <v>1.70830315470499E-2</v>
      </c>
      <c r="I80">
        <v>0.59298826173168839</v>
      </c>
      <c r="J80">
        <v>0.24744512362090529</v>
      </c>
      <c r="M80">
        <f t="shared" si="68"/>
        <v>0.82259245044379647</v>
      </c>
      <c r="N80">
        <f t="shared" si="69"/>
        <v>0.61738113343313861</v>
      </c>
      <c r="O80">
        <f t="shared" si="70"/>
        <v>0.52874910685430399</v>
      </c>
      <c r="P80">
        <f t="shared" si="71"/>
        <v>0.63100372030244667</v>
      </c>
      <c r="Q80">
        <f t="shared" si="72"/>
        <v>0.77286754095157806</v>
      </c>
      <c r="R80">
        <f t="shared" si="73"/>
        <v>0.68517584911874962</v>
      </c>
      <c r="S80">
        <f t="shared" si="74"/>
        <v>0.50854151577352491</v>
      </c>
      <c r="T80">
        <f t="shared" si="75"/>
        <v>0.7964941308658442</v>
      </c>
      <c r="U80">
        <f t="shared" si="76"/>
        <v>0.6237225618104526</v>
      </c>
      <c r="X80" s="8">
        <f t="shared" si="77"/>
        <v>0.20521131701065787</v>
      </c>
      <c r="Y80" s="8">
        <f t="shared" si="78"/>
        <v>0.29384334358949249</v>
      </c>
      <c r="Z80" s="8">
        <f t="shared" si="79"/>
        <v>0.19158873014134981</v>
      </c>
      <c r="AA80" s="8">
        <f t="shared" si="80"/>
        <v>4.9724909492218416E-2</v>
      </c>
      <c r="AB80" s="8">
        <f t="shared" si="81"/>
        <v>0.13741660132504685</v>
      </c>
      <c r="AC80" s="8">
        <f t="shared" si="82"/>
        <v>0.31405093467027156</v>
      </c>
      <c r="AD80" s="8">
        <f t="shared" si="83"/>
        <v>2.6098319577952278E-2</v>
      </c>
      <c r="AE80" s="8">
        <f t="shared" si="84"/>
        <v>0.19886988863334387</v>
      </c>
      <c r="AI80">
        <f t="shared" si="60"/>
        <v>0.41042263402131574</v>
      </c>
      <c r="AJ80">
        <f t="shared" si="61"/>
        <v>0.5876866871789852</v>
      </c>
      <c r="AK80">
        <f t="shared" si="62"/>
        <v>0.38317746028269978</v>
      </c>
      <c r="AL80">
        <f t="shared" si="63"/>
        <v>9.9449818984436944E-2</v>
      </c>
      <c r="AM80">
        <f t="shared" si="64"/>
        <v>0.27483320265009376</v>
      </c>
      <c r="AN80">
        <f t="shared" si="65"/>
        <v>0.62810186934054313</v>
      </c>
      <c r="AO80">
        <f t="shared" si="66"/>
        <v>5.2196639155904667E-2</v>
      </c>
      <c r="AP80">
        <f t="shared" si="67"/>
        <v>0.39773977726668774</v>
      </c>
    </row>
    <row r="81" spans="1:42" x14ac:dyDescent="0.25">
      <c r="A81">
        <v>0.4123</v>
      </c>
      <c r="B81">
        <v>0.71847045901392192</v>
      </c>
      <c r="C81">
        <v>0.27149372316538289</v>
      </c>
      <c r="D81">
        <v>9.0038885174546196E-2</v>
      </c>
      <c r="E81">
        <v>0.33596323175202197</v>
      </c>
      <c r="F81">
        <v>0.49599317887328098</v>
      </c>
      <c r="G81">
        <v>0.46084152047874838</v>
      </c>
      <c r="H81">
        <v>-8.0413855147079993E-2</v>
      </c>
      <c r="I81">
        <v>0.63555387765762972</v>
      </c>
      <c r="J81">
        <v>0.28804191200593959</v>
      </c>
      <c r="M81">
        <f t="shared" si="68"/>
        <v>0.85923522950696096</v>
      </c>
      <c r="N81">
        <f t="shared" si="69"/>
        <v>0.63574686158269145</v>
      </c>
      <c r="O81">
        <f t="shared" si="70"/>
        <v>0.54501944258727308</v>
      </c>
      <c r="P81">
        <f t="shared" si="71"/>
        <v>0.66798161587601101</v>
      </c>
      <c r="Q81">
        <f t="shared" si="72"/>
        <v>0.74799658943664049</v>
      </c>
      <c r="R81">
        <f t="shared" si="73"/>
        <v>0.73042076023937419</v>
      </c>
      <c r="S81">
        <f t="shared" si="74"/>
        <v>0.45979307242646</v>
      </c>
      <c r="T81">
        <f t="shared" si="75"/>
        <v>0.81777693882881486</v>
      </c>
      <c r="U81">
        <f t="shared" si="76"/>
        <v>0.64402095600296982</v>
      </c>
      <c r="X81" s="8">
        <f t="shared" si="77"/>
        <v>0.22348836792426952</v>
      </c>
      <c r="Y81" s="8">
        <f t="shared" si="78"/>
        <v>0.31421578691968788</v>
      </c>
      <c r="Z81" s="8">
        <f t="shared" si="79"/>
        <v>0.19125361363094995</v>
      </c>
      <c r="AA81" s="8">
        <f t="shared" si="80"/>
        <v>0.11123864007032047</v>
      </c>
      <c r="AB81" s="8">
        <f t="shared" si="81"/>
        <v>0.12881446926758677</v>
      </c>
      <c r="AC81" s="8">
        <f t="shared" si="82"/>
        <v>0.39944215708050096</v>
      </c>
      <c r="AD81" s="8">
        <f t="shared" si="83"/>
        <v>4.1458290678146104E-2</v>
      </c>
      <c r="AE81" s="8">
        <f t="shared" si="84"/>
        <v>0.21521427350399114</v>
      </c>
      <c r="AI81">
        <f t="shared" si="60"/>
        <v>0.44697673584853903</v>
      </c>
      <c r="AJ81">
        <f t="shared" si="61"/>
        <v>0.62843157383937576</v>
      </c>
      <c r="AK81">
        <f t="shared" si="62"/>
        <v>0.38250722726189995</v>
      </c>
      <c r="AL81">
        <f t="shared" si="63"/>
        <v>0.22247728014064094</v>
      </c>
      <c r="AM81">
        <f t="shared" si="64"/>
        <v>0.25762893853517355</v>
      </c>
      <c r="AN81">
        <f t="shared" si="65"/>
        <v>0.79888431416100192</v>
      </c>
      <c r="AO81">
        <f t="shared" si="66"/>
        <v>8.2916581356292207E-2</v>
      </c>
      <c r="AP81">
        <f t="shared" si="67"/>
        <v>0.43042854700798233</v>
      </c>
    </row>
    <row r="82" spans="1:42" x14ac:dyDescent="0.25">
      <c r="A82">
        <v>0.48720000000000002</v>
      </c>
      <c r="B82">
        <v>0.74331521415084123</v>
      </c>
      <c r="C82">
        <v>0.27423642442672841</v>
      </c>
      <c r="D82">
        <v>8.9058368837027502E-2</v>
      </c>
      <c r="E82">
        <v>0.35648310265810462</v>
      </c>
      <c r="F82">
        <v>0.493965120011568</v>
      </c>
      <c r="G82">
        <v>0.48852099477255678</v>
      </c>
      <c r="H82">
        <v>-0.1130272592432347</v>
      </c>
      <c r="I82">
        <v>0.65504140756850671</v>
      </c>
      <c r="J82">
        <v>0.29593765820142948</v>
      </c>
      <c r="M82">
        <f t="shared" si="68"/>
        <v>0.87165760707542062</v>
      </c>
      <c r="N82">
        <f t="shared" si="69"/>
        <v>0.63711821221336418</v>
      </c>
      <c r="O82">
        <f t="shared" si="70"/>
        <v>0.54452918441851372</v>
      </c>
      <c r="P82">
        <f t="shared" si="71"/>
        <v>0.67824155132905228</v>
      </c>
      <c r="Q82">
        <f t="shared" si="72"/>
        <v>0.746982560005784</v>
      </c>
      <c r="R82">
        <f t="shared" si="73"/>
        <v>0.74426049738627842</v>
      </c>
      <c r="S82">
        <f t="shared" si="74"/>
        <v>0.44348637037838268</v>
      </c>
      <c r="T82">
        <f t="shared" si="75"/>
        <v>0.82752070378425335</v>
      </c>
      <c r="U82">
        <f t="shared" si="76"/>
        <v>0.64796882910071474</v>
      </c>
      <c r="X82" s="8">
        <f t="shared" si="77"/>
        <v>0.23453939486205644</v>
      </c>
      <c r="Y82" s="8">
        <f t="shared" si="78"/>
        <v>0.32712842265690689</v>
      </c>
      <c r="Z82" s="8">
        <f t="shared" si="79"/>
        <v>0.19341605574636833</v>
      </c>
      <c r="AA82" s="8">
        <f t="shared" si="80"/>
        <v>0.12467504706963661</v>
      </c>
      <c r="AB82" s="8">
        <f t="shared" si="81"/>
        <v>0.1273971096891422</v>
      </c>
      <c r="AC82" s="8">
        <f t="shared" si="82"/>
        <v>0.42817123669703794</v>
      </c>
      <c r="AD82" s="8">
        <f t="shared" si="83"/>
        <v>4.4136903291167262E-2</v>
      </c>
      <c r="AE82" s="8">
        <f t="shared" si="84"/>
        <v>0.22368877797470588</v>
      </c>
      <c r="AI82">
        <f t="shared" si="60"/>
        <v>0.46907878972411282</v>
      </c>
      <c r="AJ82">
        <f t="shared" si="61"/>
        <v>0.65425684531381378</v>
      </c>
      <c r="AK82">
        <f t="shared" si="62"/>
        <v>0.38683211149273661</v>
      </c>
      <c r="AL82">
        <f t="shared" si="63"/>
        <v>0.24935009413927323</v>
      </c>
      <c r="AM82">
        <f t="shared" si="64"/>
        <v>0.25479421937828445</v>
      </c>
      <c r="AN82">
        <f t="shared" si="65"/>
        <v>0.85634247339407588</v>
      </c>
      <c r="AO82">
        <f t="shared" si="66"/>
        <v>8.8273806582334524E-2</v>
      </c>
      <c r="AP82">
        <f t="shared" si="67"/>
        <v>0.44737755594941175</v>
      </c>
    </row>
    <row r="83" spans="1:42" x14ac:dyDescent="0.25">
      <c r="A83">
        <v>0.56220000000000003</v>
      </c>
      <c r="B83">
        <v>0.77523103431537066</v>
      </c>
      <c r="C83">
        <v>0.29700422137794741</v>
      </c>
      <c r="D83">
        <v>0.11784468375936021</v>
      </c>
      <c r="E83">
        <v>0.41358827529979569</v>
      </c>
      <c r="F83">
        <v>0.44549187904875598</v>
      </c>
      <c r="G83">
        <v>0.5372382409769626</v>
      </c>
      <c r="H83">
        <v>-0.15986575046343429</v>
      </c>
      <c r="I83">
        <v>0.66580598496725951</v>
      </c>
      <c r="J83">
        <v>0.3243802626527843</v>
      </c>
      <c r="M83">
        <f t="shared" si="68"/>
        <v>0.88761551715768539</v>
      </c>
      <c r="N83">
        <f t="shared" si="69"/>
        <v>0.64850211068897368</v>
      </c>
      <c r="O83">
        <f t="shared" si="70"/>
        <v>0.55892234187968015</v>
      </c>
      <c r="P83">
        <f t="shared" si="71"/>
        <v>0.70679413764989785</v>
      </c>
      <c r="Q83">
        <f t="shared" si="72"/>
        <v>0.72274593952437804</v>
      </c>
      <c r="R83">
        <f t="shared" si="73"/>
        <v>0.76861912048848136</v>
      </c>
      <c r="S83">
        <f t="shared" si="74"/>
        <v>0.42006712476828284</v>
      </c>
      <c r="T83">
        <f t="shared" si="75"/>
        <v>0.83290299248362976</v>
      </c>
      <c r="U83">
        <f t="shared" si="76"/>
        <v>0.66219013132639215</v>
      </c>
      <c r="X83" s="8">
        <f t="shared" si="77"/>
        <v>0.23911340646871171</v>
      </c>
      <c r="Y83" s="8">
        <f t="shared" si="78"/>
        <v>0.32869317527800523</v>
      </c>
      <c r="Z83" s="8">
        <f t="shared" si="79"/>
        <v>0.18082137950778754</v>
      </c>
      <c r="AA83" s="8">
        <f t="shared" si="80"/>
        <v>0.16486957763330734</v>
      </c>
      <c r="AB83" s="8">
        <f t="shared" si="81"/>
        <v>0.11899639666920403</v>
      </c>
      <c r="AC83" s="8">
        <f t="shared" si="82"/>
        <v>0.46754839238940255</v>
      </c>
      <c r="AD83" s="8">
        <f t="shared" si="83"/>
        <v>5.4712524674055629E-2</v>
      </c>
      <c r="AE83" s="8">
        <f t="shared" si="84"/>
        <v>0.22542538583129323</v>
      </c>
      <c r="AI83">
        <f t="shared" si="60"/>
        <v>0.47822681293742325</v>
      </c>
      <c r="AJ83">
        <f t="shared" si="61"/>
        <v>0.65738635055601047</v>
      </c>
      <c r="AK83">
        <f t="shared" si="62"/>
        <v>0.36164275901557497</v>
      </c>
      <c r="AL83">
        <f t="shared" si="63"/>
        <v>0.32973915526661468</v>
      </c>
      <c r="AM83">
        <f t="shared" si="64"/>
        <v>0.23799279333840806</v>
      </c>
      <c r="AN83">
        <f t="shared" si="65"/>
        <v>0.93509678477880498</v>
      </c>
      <c r="AO83">
        <f t="shared" si="66"/>
        <v>0.10942504934811115</v>
      </c>
      <c r="AP83">
        <f t="shared" si="67"/>
        <v>0.45085077166258636</v>
      </c>
    </row>
    <row r="84" spans="1:42" x14ac:dyDescent="0.25">
      <c r="A84">
        <v>0.63719999999999999</v>
      </c>
      <c r="B84">
        <v>0.80333057820563913</v>
      </c>
      <c r="C84">
        <v>0.3252872323415007</v>
      </c>
      <c r="D84">
        <v>0.14828210259698929</v>
      </c>
      <c r="E84">
        <v>0.45371207608659048</v>
      </c>
      <c r="F84">
        <v>0.43364799498322071</v>
      </c>
      <c r="G84">
        <v>0.56869610971108064</v>
      </c>
      <c r="H84">
        <v>-0.16703241216265949</v>
      </c>
      <c r="I84">
        <v>0.67277660911265946</v>
      </c>
      <c r="J84">
        <v>0.35729962663542619</v>
      </c>
      <c r="M84">
        <f t="shared" si="68"/>
        <v>0.90166528910281962</v>
      </c>
      <c r="N84">
        <f t="shared" si="69"/>
        <v>0.66264361617075029</v>
      </c>
      <c r="O84">
        <f t="shared" si="70"/>
        <v>0.57414105129849469</v>
      </c>
      <c r="P84">
        <f t="shared" si="71"/>
        <v>0.72685603804329524</v>
      </c>
      <c r="Q84">
        <f t="shared" si="72"/>
        <v>0.71682399749161041</v>
      </c>
      <c r="R84">
        <f t="shared" si="73"/>
        <v>0.78434805485554038</v>
      </c>
      <c r="S84">
        <f t="shared" si="74"/>
        <v>0.41648379391867024</v>
      </c>
      <c r="T84">
        <f t="shared" si="75"/>
        <v>0.83638830455632973</v>
      </c>
      <c r="U84">
        <f t="shared" si="76"/>
        <v>0.67864981331771312</v>
      </c>
      <c r="X84" s="8">
        <f t="shared" si="77"/>
        <v>0.23902167293206933</v>
      </c>
      <c r="Y84" s="8">
        <f t="shared" si="78"/>
        <v>0.32752423780432494</v>
      </c>
      <c r="Z84" s="8">
        <f t="shared" si="79"/>
        <v>0.17480925105952438</v>
      </c>
      <c r="AA84" s="8">
        <f t="shared" si="80"/>
        <v>0.18484129161120921</v>
      </c>
      <c r="AB84" s="8">
        <f t="shared" si="81"/>
        <v>0.11731723424727925</v>
      </c>
      <c r="AC84" s="8">
        <f t="shared" si="82"/>
        <v>0.48518149518414938</v>
      </c>
      <c r="AD84" s="8">
        <f t="shared" si="83"/>
        <v>6.5276984546489891E-2</v>
      </c>
      <c r="AE84" s="8">
        <f t="shared" si="84"/>
        <v>0.2230154757851065</v>
      </c>
      <c r="AI84">
        <f t="shared" si="60"/>
        <v>0.47804334586413844</v>
      </c>
      <c r="AJ84">
        <f t="shared" si="61"/>
        <v>0.65504847560864987</v>
      </c>
      <c r="AK84">
        <f t="shared" si="62"/>
        <v>0.34961850211904866</v>
      </c>
      <c r="AL84">
        <f t="shared" si="63"/>
        <v>0.36968258322241843</v>
      </c>
      <c r="AM84">
        <f t="shared" si="64"/>
        <v>0.23463446849455849</v>
      </c>
      <c r="AN84">
        <f t="shared" si="65"/>
        <v>0.97036299036829865</v>
      </c>
      <c r="AO84">
        <f t="shared" si="66"/>
        <v>0.13055396909297967</v>
      </c>
      <c r="AP84">
        <f t="shared" si="67"/>
        <v>0.44603095157021294</v>
      </c>
    </row>
    <row r="85" spans="1:42" x14ac:dyDescent="0.25">
      <c r="A85">
        <v>0.71209999999999996</v>
      </c>
      <c r="B85">
        <v>0.78928688152447557</v>
      </c>
      <c r="C85">
        <v>0.3791946435056715</v>
      </c>
      <c r="D85">
        <v>0.20767146076358589</v>
      </c>
      <c r="E85">
        <v>0.51200619674670789</v>
      </c>
      <c r="F85">
        <v>0.41005128171169392</v>
      </c>
      <c r="G85">
        <v>0.56552110864263383</v>
      </c>
      <c r="H85">
        <v>-0.1556530769461674</v>
      </c>
      <c r="I85">
        <v>0.67862676499415286</v>
      </c>
      <c r="J85">
        <v>0.41533300299566062</v>
      </c>
      <c r="M85">
        <f t="shared" si="68"/>
        <v>0.89464344076223778</v>
      </c>
      <c r="N85">
        <f t="shared" si="69"/>
        <v>0.68959732175283572</v>
      </c>
      <c r="O85">
        <f t="shared" si="70"/>
        <v>0.60383573038179295</v>
      </c>
      <c r="P85">
        <f t="shared" si="71"/>
        <v>0.75600309837335389</v>
      </c>
      <c r="Q85">
        <f t="shared" si="72"/>
        <v>0.70502564085584696</v>
      </c>
      <c r="R85">
        <f t="shared" si="73"/>
        <v>0.78276055432131697</v>
      </c>
      <c r="S85">
        <f t="shared" si="74"/>
        <v>0.42217346152691632</v>
      </c>
      <c r="T85">
        <f t="shared" si="75"/>
        <v>0.83931338249707643</v>
      </c>
      <c r="U85">
        <f t="shared" si="76"/>
        <v>0.70766650149783028</v>
      </c>
      <c r="X85" s="8">
        <f t="shared" si="77"/>
        <v>0.20504611900940206</v>
      </c>
      <c r="Y85" s="8">
        <f t="shared" si="78"/>
        <v>0.29080771038044484</v>
      </c>
      <c r="Z85" s="8">
        <f t="shared" si="79"/>
        <v>0.1386403423888839</v>
      </c>
      <c r="AA85" s="8">
        <f t="shared" si="80"/>
        <v>0.18961779990639083</v>
      </c>
      <c r="AB85" s="8">
        <f t="shared" si="81"/>
        <v>0.11188288644092081</v>
      </c>
      <c r="AC85" s="8">
        <f t="shared" si="82"/>
        <v>0.47246997923532147</v>
      </c>
      <c r="AD85" s="8">
        <f t="shared" si="83"/>
        <v>5.5330058265161353E-2</v>
      </c>
      <c r="AE85" s="8">
        <f t="shared" si="84"/>
        <v>0.1869769392644075</v>
      </c>
      <c r="AI85">
        <f t="shared" si="60"/>
        <v>0.41009223801880407</v>
      </c>
      <c r="AJ85">
        <f t="shared" si="61"/>
        <v>0.58161542076088968</v>
      </c>
      <c r="AK85">
        <f t="shared" si="62"/>
        <v>0.27728068477776768</v>
      </c>
      <c r="AL85">
        <f t="shared" si="63"/>
        <v>0.37923559981278165</v>
      </c>
      <c r="AM85">
        <f t="shared" si="64"/>
        <v>0.22376577288184174</v>
      </c>
      <c r="AN85">
        <f t="shared" si="65"/>
        <v>0.94493995847064294</v>
      </c>
      <c r="AO85">
        <f t="shared" si="66"/>
        <v>0.11066011653032271</v>
      </c>
      <c r="AP85">
        <f t="shared" si="67"/>
        <v>0.37395387852881495</v>
      </c>
    </row>
    <row r="86" spans="1:42" x14ac:dyDescent="0.25">
      <c r="A86">
        <v>0.78710000000000002</v>
      </c>
      <c r="B86">
        <v>0.7526132404181185</v>
      </c>
      <c r="C86">
        <v>0.40376798587170881</v>
      </c>
      <c r="D86">
        <v>0.2408161036655751</v>
      </c>
      <c r="E86">
        <v>0.56573089153258815</v>
      </c>
      <c r="F86">
        <v>0.36692283798598779</v>
      </c>
      <c r="G86">
        <v>0.54460923513591997</v>
      </c>
      <c r="H86">
        <v>-0.1598812829961799</v>
      </c>
      <c r="I86">
        <v>0.66339763993814471</v>
      </c>
      <c r="J86">
        <v>0.44299632326544458</v>
      </c>
      <c r="M86">
        <f t="shared" si="68"/>
        <v>0.87630662020905925</v>
      </c>
      <c r="N86">
        <f t="shared" si="69"/>
        <v>0.70188399293585446</v>
      </c>
      <c r="O86">
        <f t="shared" si="70"/>
        <v>0.62040805183278758</v>
      </c>
      <c r="P86">
        <f t="shared" si="71"/>
        <v>0.78286544576629402</v>
      </c>
      <c r="Q86">
        <f t="shared" si="72"/>
        <v>0.68346141899299395</v>
      </c>
      <c r="R86">
        <f t="shared" si="73"/>
        <v>0.77230461756795998</v>
      </c>
      <c r="S86">
        <f t="shared" si="74"/>
        <v>0.42005935850191006</v>
      </c>
      <c r="T86">
        <f t="shared" si="75"/>
        <v>0.83169881996907236</v>
      </c>
      <c r="U86">
        <f t="shared" si="76"/>
        <v>0.72149816163272229</v>
      </c>
      <c r="X86" s="8">
        <f t="shared" si="77"/>
        <v>0.17442262727320479</v>
      </c>
      <c r="Y86" s="8">
        <f t="shared" si="78"/>
        <v>0.25589856837627167</v>
      </c>
      <c r="Z86" s="8">
        <f t="shared" si="79"/>
        <v>9.3441174442765229E-2</v>
      </c>
      <c r="AA86" s="8">
        <f t="shared" si="80"/>
        <v>0.1928452012160653</v>
      </c>
      <c r="AB86" s="8">
        <f t="shared" si="81"/>
        <v>0.10400200264109927</v>
      </c>
      <c r="AC86" s="8">
        <f t="shared" si="82"/>
        <v>0.45624726170714919</v>
      </c>
      <c r="AD86" s="8">
        <f t="shared" si="83"/>
        <v>4.4607800239986894E-2</v>
      </c>
      <c r="AE86" s="8">
        <f t="shared" si="84"/>
        <v>0.15480845857633696</v>
      </c>
      <c r="AI86">
        <f t="shared" si="60"/>
        <v>0.34884525454640969</v>
      </c>
      <c r="AJ86">
        <f t="shared" si="61"/>
        <v>0.51179713675254335</v>
      </c>
      <c r="AK86">
        <f t="shared" si="62"/>
        <v>0.18688234888553035</v>
      </c>
      <c r="AL86">
        <f t="shared" si="63"/>
        <v>0.38569040243213071</v>
      </c>
      <c r="AM86">
        <f t="shared" si="64"/>
        <v>0.20800400528219853</v>
      </c>
      <c r="AN86">
        <f t="shared" si="65"/>
        <v>0.91249452341429838</v>
      </c>
      <c r="AO86">
        <f t="shared" si="66"/>
        <v>8.9215600479973789E-2</v>
      </c>
      <c r="AP86">
        <f t="shared" si="67"/>
        <v>0.30961691715267392</v>
      </c>
    </row>
    <row r="87" spans="1:42" x14ac:dyDescent="0.25">
      <c r="A87">
        <v>0.86199999999999999</v>
      </c>
      <c r="B87">
        <v>0.74290140009570149</v>
      </c>
      <c r="C87">
        <v>0.42137188632364048</v>
      </c>
      <c r="D87">
        <v>0.26409249162439091</v>
      </c>
      <c r="E87">
        <v>0.59523655968565514</v>
      </c>
      <c r="F87">
        <v>0.38467490068810711</v>
      </c>
      <c r="G87">
        <v>0.51728402336305279</v>
      </c>
      <c r="H87">
        <v>-0.13305801372118631</v>
      </c>
      <c r="I87">
        <v>0.67045235817804361</v>
      </c>
      <c r="J87">
        <v>0.46163774498611387</v>
      </c>
      <c r="M87">
        <f t="shared" si="68"/>
        <v>0.87145070004785075</v>
      </c>
      <c r="N87">
        <f t="shared" si="69"/>
        <v>0.71068594316182021</v>
      </c>
      <c r="O87">
        <f t="shared" si="70"/>
        <v>0.63204624581219548</v>
      </c>
      <c r="P87">
        <f t="shared" si="71"/>
        <v>0.79761827984282752</v>
      </c>
      <c r="Q87">
        <f t="shared" si="72"/>
        <v>0.69233745034405358</v>
      </c>
      <c r="R87">
        <f t="shared" si="73"/>
        <v>0.75864201168152645</v>
      </c>
      <c r="S87">
        <f t="shared" si="74"/>
        <v>0.43347099313940685</v>
      </c>
      <c r="T87">
        <f t="shared" si="75"/>
        <v>0.83522617908902186</v>
      </c>
      <c r="U87">
        <f t="shared" si="76"/>
        <v>0.73081887249305688</v>
      </c>
      <c r="X87" s="8">
        <f t="shared" si="77"/>
        <v>0.16076475688603054</v>
      </c>
      <c r="Y87" s="8">
        <f t="shared" si="78"/>
        <v>0.23940445423565526</v>
      </c>
      <c r="Z87" s="8">
        <f t="shared" si="79"/>
        <v>7.383242020502323E-2</v>
      </c>
      <c r="AA87" s="8">
        <f t="shared" si="80"/>
        <v>0.17911324970379716</v>
      </c>
      <c r="AB87" s="8">
        <f t="shared" si="81"/>
        <v>0.11280868836632429</v>
      </c>
      <c r="AC87" s="8">
        <f t="shared" si="82"/>
        <v>0.4379797069084439</v>
      </c>
      <c r="AD87" s="8">
        <f t="shared" si="83"/>
        <v>3.6224520958828887E-2</v>
      </c>
      <c r="AE87" s="8">
        <f t="shared" si="84"/>
        <v>0.14063182755479386</v>
      </c>
      <c r="AI87">
        <f t="shared" si="60"/>
        <v>0.32152951377206102</v>
      </c>
      <c r="AJ87">
        <f t="shared" si="61"/>
        <v>0.47880890847131058</v>
      </c>
      <c r="AK87">
        <f t="shared" si="62"/>
        <v>0.14766484041004635</v>
      </c>
      <c r="AL87">
        <f t="shared" si="63"/>
        <v>0.35822649940759438</v>
      </c>
      <c r="AM87">
        <f t="shared" si="64"/>
        <v>0.2256173767326487</v>
      </c>
      <c r="AN87">
        <f t="shared" si="65"/>
        <v>0.8759594138168878</v>
      </c>
      <c r="AO87">
        <f t="shared" si="66"/>
        <v>7.2449041917657886E-2</v>
      </c>
      <c r="AP87">
        <f t="shared" si="67"/>
        <v>0.28126365510958762</v>
      </c>
    </row>
    <row r="88" spans="1:42" x14ac:dyDescent="0.25">
      <c r="A88">
        <v>0.93700000000000006</v>
      </c>
      <c r="B88">
        <v>0.7134744509605695</v>
      </c>
      <c r="C88">
        <v>0.35477835084339587</v>
      </c>
      <c r="D88">
        <v>0.1948731392964331</v>
      </c>
      <c r="E88">
        <v>0.53508035998634584</v>
      </c>
      <c r="F88">
        <v>0.38708917830748851</v>
      </c>
      <c r="G88">
        <v>0.48627024229706911</v>
      </c>
      <c r="H88">
        <v>-9.8986902545247196E-2</v>
      </c>
      <c r="I88">
        <v>0.6588372066407916</v>
      </c>
      <c r="J88">
        <v>0.38833323306212381</v>
      </c>
      <c r="M88">
        <f t="shared" si="68"/>
        <v>0.85673722548028475</v>
      </c>
      <c r="N88">
        <f t="shared" si="69"/>
        <v>0.67738917542169796</v>
      </c>
      <c r="O88">
        <f t="shared" si="70"/>
        <v>0.59743656964821656</v>
      </c>
      <c r="P88">
        <f t="shared" si="71"/>
        <v>0.76754017999317292</v>
      </c>
      <c r="Q88">
        <f t="shared" si="72"/>
        <v>0.69354458915374428</v>
      </c>
      <c r="R88">
        <f t="shared" si="73"/>
        <v>0.74313512114853453</v>
      </c>
      <c r="S88">
        <f t="shared" si="74"/>
        <v>0.45050654872737639</v>
      </c>
      <c r="T88">
        <f t="shared" si="75"/>
        <v>0.82941860332039585</v>
      </c>
      <c r="U88">
        <f t="shared" si="76"/>
        <v>0.69416661653106193</v>
      </c>
      <c r="X88" s="8">
        <f t="shared" si="77"/>
        <v>0.17934805005858678</v>
      </c>
      <c r="Y88" s="8">
        <f t="shared" si="78"/>
        <v>0.25930065583206818</v>
      </c>
      <c r="Z88" s="8">
        <f t="shared" si="79"/>
        <v>8.9197045487111826E-2</v>
      </c>
      <c r="AA88" s="8">
        <f t="shared" si="80"/>
        <v>0.16319263632654046</v>
      </c>
      <c r="AB88" s="8">
        <f t="shared" si="81"/>
        <v>0.11360210433175022</v>
      </c>
      <c r="AC88" s="8">
        <f t="shared" si="82"/>
        <v>0.40623067675290836</v>
      </c>
      <c r="AD88" s="8">
        <f t="shared" si="83"/>
        <v>2.7318622159888895E-2</v>
      </c>
      <c r="AE88" s="8">
        <f t="shared" si="84"/>
        <v>0.16257060894922282</v>
      </c>
      <c r="AF88">
        <f>COUNT(X80:X88)</f>
        <v>9</v>
      </c>
      <c r="AI88">
        <f t="shared" si="60"/>
        <v>0.35869610011717362</v>
      </c>
      <c r="AJ88">
        <f t="shared" si="61"/>
        <v>0.51860131166413637</v>
      </c>
      <c r="AK88">
        <f t="shared" si="62"/>
        <v>0.17839409097422365</v>
      </c>
      <c r="AL88">
        <f t="shared" si="63"/>
        <v>0.32638527265308098</v>
      </c>
      <c r="AM88">
        <f t="shared" si="64"/>
        <v>0.22720420866350038</v>
      </c>
      <c r="AN88">
        <f t="shared" si="65"/>
        <v>0.81246135350581672</v>
      </c>
      <c r="AO88">
        <f t="shared" si="66"/>
        <v>5.46372443197779E-2</v>
      </c>
      <c r="AP88">
        <f t="shared" si="67"/>
        <v>0.32514121789844569</v>
      </c>
    </row>
    <row r="89" spans="1:42" s="10" customFormat="1" x14ac:dyDescent="0.25">
      <c r="A89" s="10" t="s">
        <v>76</v>
      </c>
      <c r="M89" s="10">
        <f>AVERAGE(M80:M88)</f>
        <v>0.87132267553179077</v>
      </c>
      <c r="N89" s="10">
        <f t="shared" ref="N89:U89" si="93">AVERAGE(N80:N88)</f>
        <v>0.66454981859568085</v>
      </c>
      <c r="O89" s="10">
        <f t="shared" si="93"/>
        <v>0.57834308052369532</v>
      </c>
      <c r="P89" s="10">
        <f t="shared" si="93"/>
        <v>0.72387822968626125</v>
      </c>
      <c r="Q89" s="10">
        <f t="shared" si="93"/>
        <v>0.72019841408406993</v>
      </c>
      <c r="R89" s="10">
        <f t="shared" si="93"/>
        <v>0.75218517631197346</v>
      </c>
      <c r="S89" s="10">
        <f t="shared" si="93"/>
        <v>0.44162024879565887</v>
      </c>
      <c r="T89" s="10">
        <f t="shared" si="93"/>
        <v>0.82741556171049313</v>
      </c>
      <c r="U89" s="10">
        <f t="shared" si="93"/>
        <v>0.67896693819032372</v>
      </c>
      <c r="X89" s="10">
        <f>((M89-N89)/N89)*100</f>
        <v>31.114726262819541</v>
      </c>
      <c r="Y89" s="10">
        <f>((M89-O89)/O89)*100</f>
        <v>50.658442172905318</v>
      </c>
      <c r="Z89" s="10">
        <f>((M89-P89)/P89)*100</f>
        <v>20.368680780665827</v>
      </c>
      <c r="AA89" s="10">
        <f>((M89-Q89)/Q89)*100</f>
        <v>20.983698171554131</v>
      </c>
      <c r="AB89" s="10">
        <f>((M89-R89)/R89)*100</f>
        <v>15.83885231612226</v>
      </c>
      <c r="AC89" s="10">
        <f>((M89-S89)/S89)*100</f>
        <v>97.301341572985393</v>
      </c>
      <c r="AD89" s="10">
        <f>((M89-T89)/T89)*100</f>
        <v>5.3065371082131554</v>
      </c>
      <c r="AE89" s="10">
        <f>((M89-U89)/U89)*100</f>
        <v>28.330648595962575</v>
      </c>
      <c r="AI89" s="10">
        <f t="shared" si="60"/>
        <v>0</v>
      </c>
      <c r="AJ89" s="10">
        <f t="shared" si="61"/>
        <v>0</v>
      </c>
      <c r="AK89" s="10">
        <f t="shared" si="62"/>
        <v>0</v>
      </c>
      <c r="AL89" s="10">
        <f t="shared" si="63"/>
        <v>0</v>
      </c>
      <c r="AM89" s="10">
        <f t="shared" si="64"/>
        <v>0</v>
      </c>
      <c r="AN89" s="10">
        <f t="shared" si="65"/>
        <v>0</v>
      </c>
      <c r="AO89" s="10">
        <f t="shared" si="66"/>
        <v>0</v>
      </c>
      <c r="AP89" s="10">
        <f t="shared" si="67"/>
        <v>0</v>
      </c>
    </row>
    <row r="90" spans="1:42" x14ac:dyDescent="0.25">
      <c r="A90">
        <v>2.64E-2</v>
      </c>
      <c r="B90">
        <v>0.72797656515836096</v>
      </c>
      <c r="C90">
        <v>0.64042184470616115</v>
      </c>
      <c r="D90">
        <v>0.4487659909688328</v>
      </c>
      <c r="E90">
        <v>0.47585663714891291</v>
      </c>
      <c r="F90">
        <v>0.7330745262857038</v>
      </c>
      <c r="G90">
        <v>0.44798942246707402</v>
      </c>
      <c r="H90">
        <v>0.53120924509962242</v>
      </c>
      <c r="I90">
        <v>0.60503918298114179</v>
      </c>
      <c r="J90">
        <v>0.61886392330645323</v>
      </c>
      <c r="M90">
        <f t="shared" si="68"/>
        <v>0.86398828257918048</v>
      </c>
      <c r="N90">
        <f t="shared" si="69"/>
        <v>0.82021092235308057</v>
      </c>
      <c r="O90">
        <f t="shared" si="70"/>
        <v>0.72438299548441643</v>
      </c>
      <c r="P90">
        <f t="shared" si="71"/>
        <v>0.73792831857445651</v>
      </c>
      <c r="Q90">
        <f t="shared" si="72"/>
        <v>0.86653726314285184</v>
      </c>
      <c r="R90">
        <f t="shared" si="73"/>
        <v>0.72399471123353698</v>
      </c>
      <c r="S90">
        <f t="shared" si="74"/>
        <v>0.76560462254981121</v>
      </c>
      <c r="T90">
        <f t="shared" si="75"/>
        <v>0.80251959149057095</v>
      </c>
      <c r="U90">
        <f t="shared" si="76"/>
        <v>0.80943196165322662</v>
      </c>
      <c r="X90">
        <f t="shared" si="77"/>
        <v>4.3777360226099904E-2</v>
      </c>
      <c r="Y90">
        <f t="shared" si="78"/>
        <v>0.13960528709476405</v>
      </c>
      <c r="Z90">
        <f t="shared" si="79"/>
        <v>0.12605996400472397</v>
      </c>
      <c r="AA90">
        <f t="shared" si="80"/>
        <v>-2.5489805636713658E-3</v>
      </c>
      <c r="AB90">
        <f t="shared" si="81"/>
        <v>0.1399935713456435</v>
      </c>
      <c r="AC90">
        <f t="shared" si="82"/>
        <v>9.8383660029369269E-2</v>
      </c>
      <c r="AD90">
        <f t="shared" si="83"/>
        <v>6.1468691088609528E-2</v>
      </c>
      <c r="AE90">
        <f t="shared" si="84"/>
        <v>5.4556320925953861E-2</v>
      </c>
      <c r="AI90">
        <f t="shared" si="60"/>
        <v>8.7554720452199808E-2</v>
      </c>
      <c r="AJ90">
        <f t="shared" si="61"/>
        <v>0.27921057418952816</v>
      </c>
      <c r="AK90">
        <f t="shared" si="62"/>
        <v>0.25211992800944805</v>
      </c>
      <c r="AL90">
        <f t="shared" si="63"/>
        <v>-5.0979611273428427E-3</v>
      </c>
      <c r="AM90">
        <f t="shared" si="64"/>
        <v>0.27998714269128694</v>
      </c>
      <c r="AN90">
        <f t="shared" si="65"/>
        <v>0.19676732005873854</v>
      </c>
      <c r="AO90">
        <f t="shared" si="66"/>
        <v>0.12293738217721917</v>
      </c>
      <c r="AP90">
        <f t="shared" si="67"/>
        <v>0.10911264185190772</v>
      </c>
    </row>
    <row r="91" spans="1:42" x14ac:dyDescent="0.25">
      <c r="A91">
        <v>3.2300000000000002E-2</v>
      </c>
      <c r="B91">
        <v>0.75548323469938827</v>
      </c>
      <c r="C91">
        <v>0.63697013550549164</v>
      </c>
      <c r="D91">
        <v>0.43606855352798451</v>
      </c>
      <c r="E91">
        <v>0.49363956043930912</v>
      </c>
      <c r="F91">
        <v>0.71129384480087066</v>
      </c>
      <c r="G91">
        <v>0.46658873648188598</v>
      </c>
      <c r="H91">
        <v>0.50435132126612403</v>
      </c>
      <c r="I91">
        <v>0.60268759986043896</v>
      </c>
      <c r="J91">
        <v>0.60687441325177749</v>
      </c>
      <c r="M91">
        <f t="shared" si="68"/>
        <v>0.87774161734969414</v>
      </c>
      <c r="N91">
        <f t="shared" si="69"/>
        <v>0.81848506775274577</v>
      </c>
      <c r="O91">
        <f t="shared" si="70"/>
        <v>0.71803427676399223</v>
      </c>
      <c r="P91">
        <f t="shared" si="71"/>
        <v>0.74681978021965456</v>
      </c>
      <c r="Q91">
        <f t="shared" si="72"/>
        <v>0.85564692240043527</v>
      </c>
      <c r="R91">
        <f t="shared" si="73"/>
        <v>0.73329436824094296</v>
      </c>
      <c r="S91">
        <f t="shared" si="74"/>
        <v>0.75217566063306207</v>
      </c>
      <c r="T91">
        <f t="shared" si="75"/>
        <v>0.80134379993021954</v>
      </c>
      <c r="U91">
        <f t="shared" si="76"/>
        <v>0.8034372066258888</v>
      </c>
      <c r="X91">
        <f t="shared" si="77"/>
        <v>5.9256549596948371E-2</v>
      </c>
      <c r="Y91">
        <f t="shared" si="78"/>
        <v>0.15970734058570191</v>
      </c>
      <c r="Z91">
        <f t="shared" si="79"/>
        <v>0.13092183713003958</v>
      </c>
      <c r="AA91">
        <f t="shared" si="80"/>
        <v>2.2094694949258864E-2</v>
      </c>
      <c r="AB91">
        <f t="shared" si="81"/>
        <v>0.14444724910875117</v>
      </c>
      <c r="AC91">
        <f t="shared" si="82"/>
        <v>0.12556595671663207</v>
      </c>
      <c r="AD91">
        <f t="shared" si="83"/>
        <v>7.6397817419474601E-2</v>
      </c>
      <c r="AE91">
        <f t="shared" si="84"/>
        <v>7.4304410723805336E-2</v>
      </c>
      <c r="AI91">
        <f t="shared" si="60"/>
        <v>0.11851309919389663</v>
      </c>
      <c r="AJ91">
        <f t="shared" si="61"/>
        <v>0.31941468117140376</v>
      </c>
      <c r="AK91">
        <f t="shared" si="62"/>
        <v>0.26184367426007915</v>
      </c>
      <c r="AL91">
        <f t="shared" si="63"/>
        <v>4.4189389898517617E-2</v>
      </c>
      <c r="AM91">
        <f t="shared" si="64"/>
        <v>0.28889449821750229</v>
      </c>
      <c r="AN91">
        <f t="shared" si="65"/>
        <v>0.25113191343326424</v>
      </c>
      <c r="AO91">
        <f t="shared" si="66"/>
        <v>0.15279563483894931</v>
      </c>
      <c r="AP91">
        <f t="shared" si="67"/>
        <v>0.14860882144761078</v>
      </c>
    </row>
    <row r="92" spans="1:42" x14ac:dyDescent="0.25">
      <c r="A92">
        <v>3.8199999999999998E-2</v>
      </c>
      <c r="B92">
        <v>0.79415685222142551</v>
      </c>
      <c r="C92">
        <v>0.64663991751712246</v>
      </c>
      <c r="D92">
        <v>0.41085958685246449</v>
      </c>
      <c r="E92">
        <v>0.53502789907911952</v>
      </c>
      <c r="F92">
        <v>0.68315040476397404</v>
      </c>
      <c r="G92">
        <v>0.51555928530712425</v>
      </c>
      <c r="H92">
        <v>0.46558700355275501</v>
      </c>
      <c r="I92">
        <v>0.60539096131158443</v>
      </c>
      <c r="J92">
        <v>0.59186985554121496</v>
      </c>
      <c r="M92">
        <f t="shared" si="68"/>
        <v>0.89707842611071276</v>
      </c>
      <c r="N92">
        <f t="shared" si="69"/>
        <v>0.82331995875856123</v>
      </c>
      <c r="O92">
        <f t="shared" si="70"/>
        <v>0.70542979342623224</v>
      </c>
      <c r="P92">
        <f t="shared" si="71"/>
        <v>0.76751394953955976</v>
      </c>
      <c r="Q92">
        <f t="shared" si="72"/>
        <v>0.84157520238198702</v>
      </c>
      <c r="R92">
        <f t="shared" si="73"/>
        <v>0.75777964265356212</v>
      </c>
      <c r="S92">
        <f t="shared" si="74"/>
        <v>0.73279350177637748</v>
      </c>
      <c r="T92">
        <f t="shared" si="75"/>
        <v>0.80269548065579222</v>
      </c>
      <c r="U92">
        <f t="shared" si="76"/>
        <v>0.79593492777060748</v>
      </c>
      <c r="X92">
        <f t="shared" si="77"/>
        <v>7.3758467352151524E-2</v>
      </c>
      <c r="Y92">
        <f t="shared" si="78"/>
        <v>0.19164863268448051</v>
      </c>
      <c r="Z92">
        <f t="shared" si="79"/>
        <v>0.129564476571153</v>
      </c>
      <c r="AA92">
        <f t="shared" si="80"/>
        <v>5.5503223728725737E-2</v>
      </c>
      <c r="AB92">
        <f t="shared" si="81"/>
        <v>0.13929878345715063</v>
      </c>
      <c r="AC92">
        <f t="shared" si="82"/>
        <v>0.16428492433433528</v>
      </c>
      <c r="AD92">
        <f t="shared" si="83"/>
        <v>9.4382945454920542E-2</v>
      </c>
      <c r="AE92">
        <f t="shared" si="84"/>
        <v>0.10114349834010528</v>
      </c>
      <c r="AI92">
        <f t="shared" si="60"/>
        <v>0.14751693470430305</v>
      </c>
      <c r="AJ92">
        <f t="shared" si="61"/>
        <v>0.38329726536896103</v>
      </c>
      <c r="AK92">
        <f t="shared" si="62"/>
        <v>0.259128953142306</v>
      </c>
      <c r="AL92">
        <f t="shared" si="63"/>
        <v>0.11100644745745147</v>
      </c>
      <c r="AM92">
        <f t="shared" si="64"/>
        <v>0.27859756691430126</v>
      </c>
      <c r="AN92">
        <f t="shared" si="65"/>
        <v>0.32856984866867051</v>
      </c>
      <c r="AO92">
        <f t="shared" si="66"/>
        <v>0.18876589090984108</v>
      </c>
      <c r="AP92">
        <f t="shared" si="67"/>
        <v>0.20228699668021055</v>
      </c>
    </row>
    <row r="93" spans="1:42" x14ac:dyDescent="0.25">
      <c r="A93">
        <v>4.41E-2</v>
      </c>
      <c r="B93">
        <v>0.81967841512667072</v>
      </c>
      <c r="C93">
        <v>0.64278471044908958</v>
      </c>
      <c r="D93">
        <v>0.38520328802229631</v>
      </c>
      <c r="E93">
        <v>0.56734176078470588</v>
      </c>
      <c r="F93">
        <v>0.64787979747827451</v>
      </c>
      <c r="G93">
        <v>0.55448385828804414</v>
      </c>
      <c r="H93">
        <v>0.42505252406279193</v>
      </c>
      <c r="I93">
        <v>0.59113854048225534</v>
      </c>
      <c r="J93">
        <v>0.567599459101918</v>
      </c>
      <c r="M93">
        <f t="shared" si="68"/>
        <v>0.90983920756333536</v>
      </c>
      <c r="N93">
        <f t="shared" si="69"/>
        <v>0.82139235522454479</v>
      </c>
      <c r="O93">
        <f t="shared" si="70"/>
        <v>0.69260164401114821</v>
      </c>
      <c r="P93">
        <f t="shared" si="71"/>
        <v>0.78367088039235289</v>
      </c>
      <c r="Q93">
        <f t="shared" si="72"/>
        <v>0.82393989873913731</v>
      </c>
      <c r="R93">
        <f t="shared" si="73"/>
        <v>0.77724192914402201</v>
      </c>
      <c r="S93">
        <f t="shared" si="74"/>
        <v>0.71252626203139591</v>
      </c>
      <c r="T93">
        <f t="shared" si="75"/>
        <v>0.79556927024112767</v>
      </c>
      <c r="U93">
        <f t="shared" si="76"/>
        <v>0.783799729550959</v>
      </c>
      <c r="X93">
        <f t="shared" si="77"/>
        <v>8.8446852338790571E-2</v>
      </c>
      <c r="Y93">
        <f t="shared" si="78"/>
        <v>0.21723756355218715</v>
      </c>
      <c r="Z93">
        <f t="shared" si="79"/>
        <v>0.12616832717098247</v>
      </c>
      <c r="AA93">
        <f t="shared" si="80"/>
        <v>8.5899308824198051E-2</v>
      </c>
      <c r="AB93">
        <f t="shared" si="81"/>
        <v>0.13259727841931335</v>
      </c>
      <c r="AC93">
        <f t="shared" si="82"/>
        <v>0.19731294553193945</v>
      </c>
      <c r="AD93">
        <f t="shared" si="83"/>
        <v>0.11426993732220769</v>
      </c>
      <c r="AE93">
        <f t="shared" si="84"/>
        <v>0.12603947801237636</v>
      </c>
      <c r="AI93">
        <f t="shared" si="60"/>
        <v>0.17689370467758114</v>
      </c>
      <c r="AJ93">
        <f t="shared" si="61"/>
        <v>0.43447512710437441</v>
      </c>
      <c r="AK93">
        <f t="shared" si="62"/>
        <v>0.25233665434196484</v>
      </c>
      <c r="AL93">
        <f t="shared" si="63"/>
        <v>0.17179861764839621</v>
      </c>
      <c r="AM93">
        <f t="shared" si="64"/>
        <v>0.26519455683862658</v>
      </c>
      <c r="AN93">
        <f t="shared" si="65"/>
        <v>0.3946258910638788</v>
      </c>
      <c r="AO93">
        <f t="shared" si="66"/>
        <v>0.22853987464441539</v>
      </c>
      <c r="AP93">
        <f t="shared" si="67"/>
        <v>0.25207895602475272</v>
      </c>
    </row>
    <row r="94" spans="1:42" x14ac:dyDescent="0.25">
      <c r="A94">
        <v>4.99E-2</v>
      </c>
      <c r="B94">
        <v>0.83738378367884247</v>
      </c>
      <c r="C94">
        <v>0.65284753668494366</v>
      </c>
      <c r="D94">
        <v>0.38432138021849699</v>
      </c>
      <c r="E94">
        <v>0.59569465525496734</v>
      </c>
      <c r="F94">
        <v>0.6259599606811389</v>
      </c>
      <c r="G94">
        <v>0.58179056481795455</v>
      </c>
      <c r="H94">
        <v>0.40573451800465132</v>
      </c>
      <c r="I94">
        <v>0.57023631887307757</v>
      </c>
      <c r="J94">
        <v>0.56519482233525087</v>
      </c>
      <c r="M94">
        <f t="shared" si="68"/>
        <v>0.91869189183942124</v>
      </c>
      <c r="N94">
        <f t="shared" si="69"/>
        <v>0.82642376834247178</v>
      </c>
      <c r="O94">
        <f t="shared" si="70"/>
        <v>0.69216069010924852</v>
      </c>
      <c r="P94">
        <f t="shared" si="71"/>
        <v>0.79784732762748367</v>
      </c>
      <c r="Q94">
        <f t="shared" si="72"/>
        <v>0.81297998034056951</v>
      </c>
      <c r="R94">
        <f t="shared" si="73"/>
        <v>0.79089528240897722</v>
      </c>
      <c r="S94">
        <f t="shared" si="74"/>
        <v>0.70286725900232572</v>
      </c>
      <c r="T94">
        <f t="shared" si="75"/>
        <v>0.78511815943653884</v>
      </c>
      <c r="U94">
        <f t="shared" si="76"/>
        <v>0.78259741116762549</v>
      </c>
      <c r="X94">
        <f t="shared" si="77"/>
        <v>9.2268123496949461E-2</v>
      </c>
      <c r="Y94">
        <f t="shared" si="78"/>
        <v>0.22653120173017272</v>
      </c>
      <c r="Z94">
        <f t="shared" si="79"/>
        <v>0.12084456421193757</v>
      </c>
      <c r="AA94">
        <f t="shared" si="80"/>
        <v>0.10571191149885173</v>
      </c>
      <c r="AB94">
        <f t="shared" si="81"/>
        <v>0.12779660943044402</v>
      </c>
      <c r="AC94">
        <f t="shared" si="82"/>
        <v>0.21582463283709552</v>
      </c>
      <c r="AD94">
        <f t="shared" si="83"/>
        <v>0.13357373240288239</v>
      </c>
      <c r="AE94">
        <f t="shared" si="84"/>
        <v>0.13609448067179575</v>
      </c>
      <c r="AI94">
        <f t="shared" si="60"/>
        <v>0.18453624699389881</v>
      </c>
      <c r="AJ94">
        <f t="shared" si="61"/>
        <v>0.45306240346034549</v>
      </c>
      <c r="AK94">
        <f t="shared" si="62"/>
        <v>0.24168912842387513</v>
      </c>
      <c r="AL94">
        <f t="shared" si="63"/>
        <v>0.21142382299770357</v>
      </c>
      <c r="AM94">
        <f t="shared" si="64"/>
        <v>0.25559321886088793</v>
      </c>
      <c r="AN94">
        <f t="shared" si="65"/>
        <v>0.43164926567419115</v>
      </c>
      <c r="AO94">
        <f t="shared" si="66"/>
        <v>0.2671474648057649</v>
      </c>
      <c r="AP94">
        <f t="shared" si="67"/>
        <v>0.27218896134359161</v>
      </c>
    </row>
    <row r="95" spans="1:42" x14ac:dyDescent="0.25">
      <c r="A95">
        <v>5.5800000000000002E-2</v>
      </c>
      <c r="B95">
        <v>0.8272269529080416</v>
      </c>
      <c r="C95">
        <v>0.63547428910804049</v>
      </c>
      <c r="D95">
        <v>0.35668973258512671</v>
      </c>
      <c r="E95">
        <v>0.62366940663940751</v>
      </c>
      <c r="F95">
        <v>0.58730602971814505</v>
      </c>
      <c r="G95">
        <v>0.62121684335702487</v>
      </c>
      <c r="H95">
        <v>0.36722524266314371</v>
      </c>
      <c r="I95">
        <v>0.54727746504072528</v>
      </c>
      <c r="J95">
        <v>0.53335662089926861</v>
      </c>
      <c r="M95">
        <f t="shared" si="68"/>
        <v>0.9136134764540208</v>
      </c>
      <c r="N95">
        <f t="shared" si="69"/>
        <v>0.81773714455402025</v>
      </c>
      <c r="O95">
        <f t="shared" si="70"/>
        <v>0.6783448662925633</v>
      </c>
      <c r="P95">
        <f t="shared" si="71"/>
        <v>0.81183470331970375</v>
      </c>
      <c r="Q95">
        <f t="shared" si="72"/>
        <v>0.79365301485907258</v>
      </c>
      <c r="R95">
        <f t="shared" si="73"/>
        <v>0.81060842167851244</v>
      </c>
      <c r="S95">
        <f t="shared" si="74"/>
        <v>0.68361262133157186</v>
      </c>
      <c r="T95">
        <f t="shared" si="75"/>
        <v>0.77363873252036264</v>
      </c>
      <c r="U95">
        <f t="shared" si="76"/>
        <v>0.7666783104496343</v>
      </c>
      <c r="X95">
        <f t="shared" si="77"/>
        <v>9.5876331900000555E-2</v>
      </c>
      <c r="Y95">
        <f t="shared" si="78"/>
        <v>0.2352686101614575</v>
      </c>
      <c r="Z95">
        <f t="shared" si="79"/>
        <v>0.10177877313431705</v>
      </c>
      <c r="AA95">
        <f t="shared" si="80"/>
        <v>0.11996046159494822</v>
      </c>
      <c r="AB95">
        <f t="shared" si="81"/>
        <v>0.10300505477550836</v>
      </c>
      <c r="AC95">
        <f t="shared" si="82"/>
        <v>0.23000085512244894</v>
      </c>
      <c r="AD95">
        <f t="shared" si="83"/>
        <v>0.13997474393365816</v>
      </c>
      <c r="AE95">
        <f t="shared" si="84"/>
        <v>0.1469351660043865</v>
      </c>
      <c r="AI95">
        <f t="shared" si="60"/>
        <v>0.19175266380000111</v>
      </c>
      <c r="AJ95">
        <f t="shared" si="61"/>
        <v>0.4705372203229149</v>
      </c>
      <c r="AK95">
        <f t="shared" si="62"/>
        <v>0.20355754626863409</v>
      </c>
      <c r="AL95">
        <f t="shared" si="63"/>
        <v>0.23992092318989655</v>
      </c>
      <c r="AM95">
        <f t="shared" si="64"/>
        <v>0.20601010955101673</v>
      </c>
      <c r="AN95">
        <f t="shared" si="65"/>
        <v>0.46000171024489789</v>
      </c>
      <c r="AO95">
        <f t="shared" si="66"/>
        <v>0.27994948786731633</v>
      </c>
      <c r="AP95">
        <f t="shared" si="67"/>
        <v>0.29387033200877299</v>
      </c>
    </row>
    <row r="96" spans="1:42" x14ac:dyDescent="0.25">
      <c r="A96">
        <v>6.1699999999999998E-2</v>
      </c>
      <c r="B96">
        <v>0.80688984037823908</v>
      </c>
      <c r="C96">
        <v>0.62888045353123057</v>
      </c>
      <c r="D96">
        <v>0.34393952281652168</v>
      </c>
      <c r="E96">
        <v>0.64203779035753428</v>
      </c>
      <c r="F96">
        <v>0.56785077681262686</v>
      </c>
      <c r="G96">
        <v>0.64531453239132219</v>
      </c>
      <c r="H96">
        <v>0.3436404602906023</v>
      </c>
      <c r="I96">
        <v>0.53745973707325823</v>
      </c>
      <c r="J96">
        <v>0.51938915671355723</v>
      </c>
      <c r="M96">
        <f t="shared" si="68"/>
        <v>0.90344492018911948</v>
      </c>
      <c r="N96">
        <f t="shared" si="69"/>
        <v>0.81444022676561523</v>
      </c>
      <c r="O96">
        <f t="shared" si="70"/>
        <v>0.67196976140826081</v>
      </c>
      <c r="P96">
        <f t="shared" si="71"/>
        <v>0.82101889517876714</v>
      </c>
      <c r="Q96">
        <f t="shared" si="72"/>
        <v>0.78392538840631343</v>
      </c>
      <c r="R96">
        <f t="shared" si="73"/>
        <v>0.82265726619566104</v>
      </c>
      <c r="S96">
        <f t="shared" si="74"/>
        <v>0.67182023014530112</v>
      </c>
      <c r="T96">
        <f t="shared" si="75"/>
        <v>0.76872986853662906</v>
      </c>
      <c r="U96">
        <f t="shared" si="76"/>
        <v>0.75969457835677856</v>
      </c>
      <c r="X96">
        <f t="shared" si="77"/>
        <v>8.9004693423504255E-2</v>
      </c>
      <c r="Y96">
        <f t="shared" si="78"/>
        <v>0.23147515878085867</v>
      </c>
      <c r="Z96">
        <f t="shared" si="79"/>
        <v>8.2426025010352344E-2</v>
      </c>
      <c r="AA96">
        <f t="shared" si="80"/>
        <v>0.11951953178280605</v>
      </c>
      <c r="AB96">
        <f t="shared" si="81"/>
        <v>8.0787653993458441E-2</v>
      </c>
      <c r="AC96">
        <f t="shared" si="82"/>
        <v>0.23162469004381836</v>
      </c>
      <c r="AD96">
        <f t="shared" si="83"/>
        <v>0.13471505165249043</v>
      </c>
      <c r="AE96">
        <f t="shared" si="84"/>
        <v>0.14375034183234092</v>
      </c>
      <c r="AI96">
        <f t="shared" si="60"/>
        <v>0.17800938684700851</v>
      </c>
      <c r="AJ96">
        <f t="shared" si="61"/>
        <v>0.46295031756171739</v>
      </c>
      <c r="AK96">
        <f t="shared" si="62"/>
        <v>0.1648520500207048</v>
      </c>
      <c r="AL96">
        <f t="shared" si="63"/>
        <v>0.23903906356561222</v>
      </c>
      <c r="AM96">
        <f t="shared" si="64"/>
        <v>0.16157530798691688</v>
      </c>
      <c r="AN96">
        <f t="shared" si="65"/>
        <v>0.46324938008763678</v>
      </c>
      <c r="AO96">
        <f t="shared" si="66"/>
        <v>0.26943010330498085</v>
      </c>
      <c r="AP96">
        <f t="shared" si="67"/>
        <v>0.28750068366468184</v>
      </c>
    </row>
    <row r="97" spans="1:42" x14ac:dyDescent="0.25">
      <c r="A97">
        <v>6.7599999999999993E-2</v>
      </c>
      <c r="B97">
        <v>0.80147243367649301</v>
      </c>
      <c r="C97">
        <v>0.63562869944578015</v>
      </c>
      <c r="D97">
        <v>0.3431143135703833</v>
      </c>
      <c r="E97">
        <v>0.6654084397368133</v>
      </c>
      <c r="F97">
        <v>0.56193433253495295</v>
      </c>
      <c r="G97">
        <v>0.67072809042802328</v>
      </c>
      <c r="H97">
        <v>0.33624780360460282</v>
      </c>
      <c r="I97">
        <v>0.52946762964985572</v>
      </c>
      <c r="J97">
        <v>0.5214520921923681</v>
      </c>
      <c r="M97">
        <f t="shared" si="68"/>
        <v>0.90073621683824645</v>
      </c>
      <c r="N97">
        <f t="shared" si="69"/>
        <v>0.81781434972289002</v>
      </c>
      <c r="O97">
        <f t="shared" si="70"/>
        <v>0.67155715678519168</v>
      </c>
      <c r="P97">
        <f t="shared" si="71"/>
        <v>0.8327042198684067</v>
      </c>
      <c r="Q97">
        <f t="shared" si="72"/>
        <v>0.78096716626747642</v>
      </c>
      <c r="R97">
        <f t="shared" si="73"/>
        <v>0.83536404521401164</v>
      </c>
      <c r="S97">
        <f t="shared" si="74"/>
        <v>0.66812390180230141</v>
      </c>
      <c r="T97">
        <f t="shared" si="75"/>
        <v>0.76473381482492786</v>
      </c>
      <c r="U97">
        <f t="shared" si="76"/>
        <v>0.76072604609618399</v>
      </c>
      <c r="X97">
        <f t="shared" si="77"/>
        <v>8.2921867115356429E-2</v>
      </c>
      <c r="Y97">
        <f t="shared" si="78"/>
        <v>0.22917906005305477</v>
      </c>
      <c r="Z97">
        <f t="shared" si="79"/>
        <v>6.8031996969839748E-2</v>
      </c>
      <c r="AA97">
        <f t="shared" si="80"/>
        <v>0.11976905057077003</v>
      </c>
      <c r="AB97">
        <f t="shared" si="81"/>
        <v>6.5372171624234809E-2</v>
      </c>
      <c r="AC97">
        <f t="shared" si="82"/>
        <v>0.23261231503594504</v>
      </c>
      <c r="AD97">
        <f t="shared" si="83"/>
        <v>0.13600240201331859</v>
      </c>
      <c r="AE97">
        <f t="shared" si="84"/>
        <v>0.14001017074206246</v>
      </c>
      <c r="AI97">
        <f t="shared" si="60"/>
        <v>0.16584373423071286</v>
      </c>
      <c r="AJ97">
        <f t="shared" si="61"/>
        <v>0.45835812010610971</v>
      </c>
      <c r="AK97">
        <f t="shared" si="62"/>
        <v>0.13606399393967972</v>
      </c>
      <c r="AL97">
        <f t="shared" si="63"/>
        <v>0.23953810114154006</v>
      </c>
      <c r="AM97">
        <f t="shared" si="64"/>
        <v>0.13074434324846973</v>
      </c>
      <c r="AN97">
        <f t="shared" si="65"/>
        <v>0.46522463007189019</v>
      </c>
      <c r="AO97">
        <f t="shared" si="66"/>
        <v>0.27200480402663729</v>
      </c>
      <c r="AP97">
        <f t="shared" si="67"/>
        <v>0.28002034148412491</v>
      </c>
    </row>
    <row r="98" spans="1:42" x14ac:dyDescent="0.25">
      <c r="A98">
        <v>7.3400000000000007E-2</v>
      </c>
      <c r="B98">
        <v>0.78668515646224124</v>
      </c>
      <c r="C98">
        <v>0.63658299233963367</v>
      </c>
      <c r="D98">
        <v>0.32655059405264908</v>
      </c>
      <c r="E98">
        <v>0.68754378007550709</v>
      </c>
      <c r="F98">
        <v>0.53449399610660753</v>
      </c>
      <c r="G98">
        <v>0.69920096596917669</v>
      </c>
      <c r="H98">
        <v>0.3110698090038812</v>
      </c>
      <c r="I98">
        <v>0.51554138177459985</v>
      </c>
      <c r="J98">
        <v>0.50906705237118322</v>
      </c>
      <c r="M98">
        <f t="shared" si="68"/>
        <v>0.89334257823112062</v>
      </c>
      <c r="N98">
        <f t="shared" si="69"/>
        <v>0.81829149616981689</v>
      </c>
      <c r="O98">
        <f t="shared" si="70"/>
        <v>0.66327529702632448</v>
      </c>
      <c r="P98">
        <f t="shared" si="71"/>
        <v>0.84377189003775355</v>
      </c>
      <c r="Q98">
        <f t="shared" si="72"/>
        <v>0.76724699805330376</v>
      </c>
      <c r="R98">
        <f t="shared" si="73"/>
        <v>0.84960048298458835</v>
      </c>
      <c r="S98">
        <f t="shared" si="74"/>
        <v>0.65553490450194063</v>
      </c>
      <c r="T98">
        <f t="shared" si="75"/>
        <v>0.75777069088729987</v>
      </c>
      <c r="U98">
        <f t="shared" si="76"/>
        <v>0.75453352618559166</v>
      </c>
      <c r="X98">
        <f t="shared" si="77"/>
        <v>7.5051082061303731E-2</v>
      </c>
      <c r="Y98">
        <f t="shared" si="78"/>
        <v>0.23006728120479614</v>
      </c>
      <c r="Z98">
        <f t="shared" si="79"/>
        <v>4.9570688193367074E-2</v>
      </c>
      <c r="AA98">
        <f t="shared" si="80"/>
        <v>0.12609558017781686</v>
      </c>
      <c r="AB98">
        <f t="shared" si="81"/>
        <v>4.3742095246532275E-2</v>
      </c>
      <c r="AC98">
        <f t="shared" si="82"/>
        <v>0.23780767372917999</v>
      </c>
      <c r="AD98">
        <f t="shared" si="83"/>
        <v>0.13557188734382075</v>
      </c>
      <c r="AE98">
        <f t="shared" si="84"/>
        <v>0.13880905204552896</v>
      </c>
      <c r="AI98">
        <f t="shared" si="60"/>
        <v>0.15010216412260757</v>
      </c>
      <c r="AJ98">
        <f t="shared" si="61"/>
        <v>0.46013456240959216</v>
      </c>
      <c r="AK98">
        <f t="shared" si="62"/>
        <v>9.9141376386734148E-2</v>
      </c>
      <c r="AL98">
        <f t="shared" si="63"/>
        <v>0.25219116035563371</v>
      </c>
      <c r="AM98">
        <f t="shared" si="64"/>
        <v>8.7484190493064551E-2</v>
      </c>
      <c r="AN98">
        <f t="shared" si="65"/>
        <v>0.47561534745836004</v>
      </c>
      <c r="AO98">
        <f t="shared" si="66"/>
        <v>0.27114377468764139</v>
      </c>
      <c r="AP98">
        <f t="shared" si="67"/>
        <v>0.27761810409105803</v>
      </c>
    </row>
    <row r="99" spans="1:42" x14ac:dyDescent="0.25">
      <c r="A99">
        <v>7.9299999999999995E-2</v>
      </c>
      <c r="B99">
        <v>0.78046624594901215</v>
      </c>
      <c r="C99">
        <v>0.63793664716111742</v>
      </c>
      <c r="D99">
        <v>0.32099474124367328</v>
      </c>
      <c r="E99">
        <v>0.70936851056764882</v>
      </c>
      <c r="F99">
        <v>0.52373495773298995</v>
      </c>
      <c r="G99">
        <v>0.72062989882113027</v>
      </c>
      <c r="H99">
        <v>0.2985680045101321</v>
      </c>
      <c r="I99">
        <v>0.50168251740694469</v>
      </c>
      <c r="J99">
        <v>0.50349415944978282</v>
      </c>
      <c r="M99">
        <f t="shared" si="68"/>
        <v>0.89023312297450607</v>
      </c>
      <c r="N99">
        <f t="shared" si="69"/>
        <v>0.81896832358055871</v>
      </c>
      <c r="O99">
        <f t="shared" si="70"/>
        <v>0.66049737062183667</v>
      </c>
      <c r="P99">
        <f t="shared" si="71"/>
        <v>0.85468425528382441</v>
      </c>
      <c r="Q99">
        <f t="shared" si="72"/>
        <v>0.76186747886649497</v>
      </c>
      <c r="R99">
        <f t="shared" si="73"/>
        <v>0.86031494941056508</v>
      </c>
      <c r="S99">
        <f t="shared" si="74"/>
        <v>0.64928400225506611</v>
      </c>
      <c r="T99">
        <f t="shared" si="75"/>
        <v>0.75084125870347229</v>
      </c>
      <c r="U99">
        <f t="shared" si="76"/>
        <v>0.75174707972489141</v>
      </c>
      <c r="X99">
        <f t="shared" si="77"/>
        <v>7.1264799393947365E-2</v>
      </c>
      <c r="Y99">
        <f t="shared" si="78"/>
        <v>0.22973575235266941</v>
      </c>
      <c r="Z99">
        <f t="shared" si="79"/>
        <v>3.5548867690681663E-2</v>
      </c>
      <c r="AA99">
        <f t="shared" si="80"/>
        <v>0.1283656441080111</v>
      </c>
      <c r="AB99">
        <f t="shared" si="81"/>
        <v>2.9918173563940997E-2</v>
      </c>
      <c r="AC99">
        <f t="shared" si="82"/>
        <v>0.24094912071943997</v>
      </c>
      <c r="AD99">
        <f t="shared" si="83"/>
        <v>0.13939186427103378</v>
      </c>
      <c r="AE99">
        <f t="shared" si="84"/>
        <v>0.13848604324961467</v>
      </c>
      <c r="AF99">
        <f>COUNT(X90:X99)</f>
        <v>10</v>
      </c>
      <c r="AI99">
        <f t="shared" si="60"/>
        <v>0.14252959878789473</v>
      </c>
      <c r="AJ99">
        <f t="shared" si="61"/>
        <v>0.45947150470533887</v>
      </c>
      <c r="AK99">
        <f t="shared" si="62"/>
        <v>7.1097735381363325E-2</v>
      </c>
      <c r="AL99">
        <f t="shared" si="63"/>
        <v>0.2567312882160222</v>
      </c>
      <c r="AM99">
        <f t="shared" si="64"/>
        <v>5.9836347127881884E-2</v>
      </c>
      <c r="AN99">
        <f t="shared" si="65"/>
        <v>0.48189824143888005</v>
      </c>
      <c r="AO99">
        <f t="shared" si="66"/>
        <v>0.27878372854206745</v>
      </c>
      <c r="AP99">
        <f t="shared" si="67"/>
        <v>0.27697208649922933</v>
      </c>
    </row>
    <row r="100" spans="1:42" s="10" customFormat="1" x14ac:dyDescent="0.25">
      <c r="A100" s="10" t="s">
        <v>75</v>
      </c>
      <c r="M100" s="10">
        <f>AVERAGE(M90:M99)</f>
        <v>0.8968709740129357</v>
      </c>
      <c r="N100" s="10">
        <f t="shared" ref="N100" si="94">AVERAGE(N90:N99)</f>
        <v>0.81970836132243041</v>
      </c>
      <c r="O100" s="10">
        <f t="shared" ref="O100" si="95">AVERAGE(O90:O99)</f>
        <v>0.68782538519292147</v>
      </c>
      <c r="P100" s="10">
        <f t="shared" ref="P100" si="96">AVERAGE(P90:P99)</f>
        <v>0.79977942200419627</v>
      </c>
      <c r="Q100" s="10">
        <f t="shared" ref="Q100" si="97">AVERAGE(Q90:Q99)</f>
        <v>0.80883393134576431</v>
      </c>
      <c r="R100" s="10">
        <f t="shared" ref="R100" si="98">AVERAGE(R90:R99)</f>
        <v>0.79617510991643803</v>
      </c>
      <c r="S100" s="10">
        <f t="shared" ref="S100" si="99">AVERAGE(S90:S99)</f>
        <v>0.69943429660291545</v>
      </c>
      <c r="T100" s="10">
        <f t="shared" ref="T100" si="100">AVERAGE(T90:T99)</f>
        <v>0.78029606672269414</v>
      </c>
      <c r="U100" s="10">
        <f t="shared" ref="U100" si="101">AVERAGE(U90:U99)</f>
        <v>0.77685807775813864</v>
      </c>
      <c r="X100" s="10">
        <f>((M100-N100)/N100)*100</f>
        <v>9.4134226673032</v>
      </c>
      <c r="Y100" s="10">
        <f>((M100-O100)/O100)*100</f>
        <v>30.392246828950793</v>
      </c>
      <c r="Z100" s="10">
        <f>((M100-P100)/P100)*100</f>
        <v>12.139791214611922</v>
      </c>
      <c r="AA100" s="10">
        <f>((M100-Q100)/Q100)*100</f>
        <v>10.884439840535928</v>
      </c>
      <c r="AB100" s="10">
        <f>((M100-R100)/R100)*100</f>
        <v>12.647451903773547</v>
      </c>
      <c r="AC100" s="10">
        <f>((M100-S100)/S100)*100</f>
        <v>28.228052065640913</v>
      </c>
      <c r="AD100" s="10">
        <f>((M100-T100)/T100)*100</f>
        <v>14.939830182646633</v>
      </c>
      <c r="AE100" s="10">
        <f>((M100-U100)/U100)*100</f>
        <v>15.448496925092281</v>
      </c>
      <c r="AI100" s="10">
        <f t="shared" si="60"/>
        <v>0</v>
      </c>
      <c r="AJ100" s="10">
        <f t="shared" si="61"/>
        <v>0</v>
      </c>
      <c r="AK100" s="10">
        <f t="shared" si="62"/>
        <v>0</v>
      </c>
      <c r="AL100" s="10">
        <f t="shared" si="63"/>
        <v>0</v>
      </c>
      <c r="AM100" s="10">
        <f t="shared" si="64"/>
        <v>0</v>
      </c>
      <c r="AN100" s="10">
        <f t="shared" si="65"/>
        <v>0</v>
      </c>
      <c r="AO100" s="10">
        <f t="shared" si="66"/>
        <v>0</v>
      </c>
      <c r="AP100" s="10">
        <f t="shared" si="67"/>
        <v>0</v>
      </c>
    </row>
    <row r="101" spans="1:42" x14ac:dyDescent="0.25">
      <c r="A101">
        <v>1.15E-2</v>
      </c>
      <c r="B101">
        <v>0.76145808649961033</v>
      </c>
      <c r="C101">
        <v>0.68529518373203258</v>
      </c>
      <c r="D101">
        <v>0.60185527149153295</v>
      </c>
      <c r="E101">
        <v>0.64026767501301352</v>
      </c>
      <c r="F101">
        <v>0.76164976303074805</v>
      </c>
      <c r="G101">
        <v>0.68006634519676812</v>
      </c>
      <c r="H101">
        <v>0.62863524172432195</v>
      </c>
      <c r="I101">
        <v>0.69592827430509285</v>
      </c>
      <c r="J101">
        <v>0.69720467716980239</v>
      </c>
      <c r="M101">
        <f t="shared" si="68"/>
        <v>0.88072904324980517</v>
      </c>
      <c r="N101">
        <f t="shared" si="69"/>
        <v>0.84264759186601634</v>
      </c>
      <c r="O101">
        <f t="shared" si="70"/>
        <v>0.80092763574576642</v>
      </c>
      <c r="P101">
        <f t="shared" si="71"/>
        <v>0.82013383750650681</v>
      </c>
      <c r="Q101">
        <f t="shared" si="72"/>
        <v>0.88082488151537408</v>
      </c>
      <c r="R101">
        <f t="shared" si="73"/>
        <v>0.84003317259838406</v>
      </c>
      <c r="S101">
        <f t="shared" si="74"/>
        <v>0.81431762086216097</v>
      </c>
      <c r="T101">
        <f t="shared" si="75"/>
        <v>0.84796413715254637</v>
      </c>
      <c r="U101">
        <f t="shared" si="76"/>
        <v>0.84860233858490119</v>
      </c>
      <c r="X101">
        <f t="shared" si="77"/>
        <v>3.8081451383788822E-2</v>
      </c>
      <c r="Y101">
        <f t="shared" si="78"/>
        <v>7.9801407504038746E-2</v>
      </c>
      <c r="Z101">
        <f t="shared" si="79"/>
        <v>6.0595205743298353E-2</v>
      </c>
      <c r="AA101">
        <f t="shared" si="80"/>
        <v>-9.5838265568914949E-5</v>
      </c>
      <c r="AB101">
        <f t="shared" si="81"/>
        <v>4.0695870651421107E-2</v>
      </c>
      <c r="AC101">
        <f t="shared" si="82"/>
        <v>6.6411422387644192E-2</v>
      </c>
      <c r="AD101">
        <f t="shared" si="83"/>
        <v>3.2764906097258795E-2</v>
      </c>
      <c r="AE101">
        <f t="shared" si="84"/>
        <v>3.2126704664903971E-2</v>
      </c>
      <c r="AI101">
        <f t="shared" si="60"/>
        <v>7.6162902767577756E-2</v>
      </c>
      <c r="AJ101">
        <f t="shared" si="61"/>
        <v>0.15960281500807738</v>
      </c>
      <c r="AK101">
        <f t="shared" si="62"/>
        <v>0.12119041148659682</v>
      </c>
      <c r="AL101">
        <f t="shared" si="63"/>
        <v>-1.9167653113771888E-4</v>
      </c>
      <c r="AM101">
        <f t="shared" si="64"/>
        <v>8.1391741302842213E-2</v>
      </c>
      <c r="AN101">
        <f t="shared" si="65"/>
        <v>0.13282284477528838</v>
      </c>
      <c r="AO101">
        <f t="shared" si="66"/>
        <v>6.5529812194517478E-2</v>
      </c>
      <c r="AP101">
        <f t="shared" si="67"/>
        <v>6.4253409329807942E-2</v>
      </c>
    </row>
    <row r="102" spans="1:42" x14ac:dyDescent="0.25">
      <c r="A102">
        <v>1.41E-2</v>
      </c>
      <c r="B102">
        <v>0.77885129761732419</v>
      </c>
      <c r="C102">
        <v>0.68844651072186103</v>
      </c>
      <c r="D102">
        <v>0.56665330120302182</v>
      </c>
      <c r="E102">
        <v>0.65485377000764711</v>
      </c>
      <c r="F102">
        <v>0.73424311123958697</v>
      </c>
      <c r="G102">
        <v>0.69967992758313102</v>
      </c>
      <c r="H102">
        <v>0.59166575696355506</v>
      </c>
      <c r="I102">
        <v>0.71017567890484223</v>
      </c>
      <c r="J102">
        <v>0.68354692885510127</v>
      </c>
      <c r="M102">
        <f t="shared" si="68"/>
        <v>0.88942564880866204</v>
      </c>
      <c r="N102">
        <f t="shared" si="69"/>
        <v>0.84422325536093057</v>
      </c>
      <c r="O102">
        <f t="shared" si="70"/>
        <v>0.78332665060151085</v>
      </c>
      <c r="P102">
        <f t="shared" si="71"/>
        <v>0.82742688500382355</v>
      </c>
      <c r="Q102">
        <f t="shared" si="72"/>
        <v>0.86712155561979354</v>
      </c>
      <c r="R102">
        <f t="shared" si="73"/>
        <v>0.84983996379156546</v>
      </c>
      <c r="S102">
        <f t="shared" si="74"/>
        <v>0.79583287848177753</v>
      </c>
      <c r="T102">
        <f t="shared" si="75"/>
        <v>0.85508783945242106</v>
      </c>
      <c r="U102">
        <f t="shared" si="76"/>
        <v>0.84177346442755063</v>
      </c>
      <c r="X102">
        <f t="shared" si="77"/>
        <v>4.520239344773147E-2</v>
      </c>
      <c r="Y102">
        <f t="shared" si="78"/>
        <v>0.10609899820715119</v>
      </c>
      <c r="Z102">
        <f t="shared" si="79"/>
        <v>6.1998763804838486E-2</v>
      </c>
      <c r="AA102">
        <f t="shared" si="80"/>
        <v>2.2304093188868501E-2</v>
      </c>
      <c r="AB102">
        <f t="shared" si="81"/>
        <v>3.9585685017096583E-2</v>
      </c>
      <c r="AC102">
        <f t="shared" si="82"/>
        <v>9.3592770326884511E-2</v>
      </c>
      <c r="AD102">
        <f t="shared" si="83"/>
        <v>3.4337809356240978E-2</v>
      </c>
      <c r="AE102">
        <f t="shared" si="84"/>
        <v>4.7652184381111407E-2</v>
      </c>
      <c r="AI102">
        <f t="shared" si="60"/>
        <v>9.0404786895463163E-2</v>
      </c>
      <c r="AJ102">
        <f t="shared" si="61"/>
        <v>0.21219799641430237</v>
      </c>
      <c r="AK102">
        <f t="shared" si="62"/>
        <v>0.12399752760967708</v>
      </c>
      <c r="AL102">
        <f t="shared" si="63"/>
        <v>4.4608186377737225E-2</v>
      </c>
      <c r="AM102">
        <f t="shared" si="64"/>
        <v>7.9171370034193167E-2</v>
      </c>
      <c r="AN102">
        <f t="shared" si="65"/>
        <v>0.18718554065376913</v>
      </c>
      <c r="AO102">
        <f t="shared" si="66"/>
        <v>6.8675618712481956E-2</v>
      </c>
      <c r="AP102">
        <f t="shared" si="67"/>
        <v>9.5304368762222924E-2</v>
      </c>
    </row>
    <row r="103" spans="1:42" x14ac:dyDescent="0.25">
      <c r="A103">
        <v>1.67E-2</v>
      </c>
      <c r="B103">
        <v>0.80090796646055595</v>
      </c>
      <c r="C103">
        <v>0.70839136375050282</v>
      </c>
      <c r="D103">
        <v>0.57595346087143284</v>
      </c>
      <c r="E103">
        <v>0.67882148698217248</v>
      </c>
      <c r="F103">
        <v>0.73812710432319795</v>
      </c>
      <c r="G103">
        <v>0.72501879717810014</v>
      </c>
      <c r="H103">
        <v>0.58916153605232613</v>
      </c>
      <c r="I103">
        <v>0.72799296965139404</v>
      </c>
      <c r="J103">
        <v>0.69891504757869194</v>
      </c>
      <c r="M103">
        <f t="shared" si="68"/>
        <v>0.90045398323027803</v>
      </c>
      <c r="N103">
        <f t="shared" si="69"/>
        <v>0.85419568187525141</v>
      </c>
      <c r="O103">
        <f t="shared" si="70"/>
        <v>0.78797673043571637</v>
      </c>
      <c r="P103">
        <f t="shared" si="71"/>
        <v>0.83941074349108624</v>
      </c>
      <c r="Q103">
        <f t="shared" si="72"/>
        <v>0.86906355216159903</v>
      </c>
      <c r="R103">
        <f t="shared" si="73"/>
        <v>0.86250939858905007</v>
      </c>
      <c r="S103">
        <f t="shared" si="74"/>
        <v>0.79458076802616306</v>
      </c>
      <c r="T103">
        <f t="shared" si="75"/>
        <v>0.86399648482569702</v>
      </c>
      <c r="U103">
        <f t="shared" si="76"/>
        <v>0.84945752378934603</v>
      </c>
      <c r="X103">
        <f t="shared" si="77"/>
        <v>4.6258301355026621E-2</v>
      </c>
      <c r="Y103">
        <f t="shared" si="78"/>
        <v>0.11247725279456167</v>
      </c>
      <c r="Z103">
        <f t="shared" si="79"/>
        <v>6.104323973919179E-2</v>
      </c>
      <c r="AA103">
        <f t="shared" si="80"/>
        <v>3.1390431068679003E-2</v>
      </c>
      <c r="AB103">
        <f t="shared" si="81"/>
        <v>3.7944584641227963E-2</v>
      </c>
      <c r="AC103">
        <f t="shared" si="82"/>
        <v>0.10587321520411497</v>
      </c>
      <c r="AD103">
        <f t="shared" si="83"/>
        <v>3.6457498404581012E-2</v>
      </c>
      <c r="AE103">
        <f t="shared" si="84"/>
        <v>5.0996459440932007E-2</v>
      </c>
      <c r="AI103">
        <f t="shared" si="60"/>
        <v>9.2516602710053131E-2</v>
      </c>
      <c r="AJ103">
        <f t="shared" si="61"/>
        <v>0.22495450558912311</v>
      </c>
      <c r="AK103">
        <f t="shared" si="62"/>
        <v>0.12208647947838347</v>
      </c>
      <c r="AL103">
        <f t="shared" si="63"/>
        <v>6.2780862137358007E-2</v>
      </c>
      <c r="AM103">
        <f t="shared" si="64"/>
        <v>7.5889169282455815E-2</v>
      </c>
      <c r="AN103">
        <f t="shared" si="65"/>
        <v>0.21174643040822982</v>
      </c>
      <c r="AO103">
        <f t="shared" si="66"/>
        <v>7.2914996809161914E-2</v>
      </c>
      <c r="AP103">
        <f t="shared" si="67"/>
        <v>0.10199291888186401</v>
      </c>
    </row>
    <row r="104" spans="1:42" x14ac:dyDescent="0.25">
      <c r="A104">
        <v>1.9199999999999998E-2</v>
      </c>
      <c r="B104">
        <v>0.82176026224933119</v>
      </c>
      <c r="C104">
        <v>0.72573926553422607</v>
      </c>
      <c r="D104">
        <v>0.57550853352213349</v>
      </c>
      <c r="E104">
        <v>0.69530437327833905</v>
      </c>
      <c r="F104">
        <v>0.74345016963660127</v>
      </c>
      <c r="G104">
        <v>0.73806240226522057</v>
      </c>
      <c r="H104">
        <v>0.5805489729506782</v>
      </c>
      <c r="I104">
        <v>0.73817237207856556</v>
      </c>
      <c r="J104">
        <v>0.71224532607805213</v>
      </c>
      <c r="M104">
        <f t="shared" si="68"/>
        <v>0.91088013112466559</v>
      </c>
      <c r="N104">
        <f t="shared" si="69"/>
        <v>0.86286963276711304</v>
      </c>
      <c r="O104">
        <f t="shared" si="70"/>
        <v>0.78775426676106675</v>
      </c>
      <c r="P104">
        <f t="shared" si="71"/>
        <v>0.84765218663916952</v>
      </c>
      <c r="Q104">
        <f t="shared" si="72"/>
        <v>0.87172508481830069</v>
      </c>
      <c r="R104">
        <f t="shared" si="73"/>
        <v>0.86903120113261023</v>
      </c>
      <c r="S104">
        <f t="shared" si="74"/>
        <v>0.79027448647533904</v>
      </c>
      <c r="T104">
        <f t="shared" si="75"/>
        <v>0.86908618603928278</v>
      </c>
      <c r="U104">
        <f t="shared" si="76"/>
        <v>0.85612266303902607</v>
      </c>
      <c r="X104">
        <f t="shared" si="77"/>
        <v>4.8010498357552556E-2</v>
      </c>
      <c r="Y104">
        <f t="shared" si="78"/>
        <v>0.12312586436359885</v>
      </c>
      <c r="Z104">
        <f t="shared" si="79"/>
        <v>6.3227944485496068E-2</v>
      </c>
      <c r="AA104">
        <f t="shared" si="80"/>
        <v>3.9155046306364905E-2</v>
      </c>
      <c r="AB104">
        <f t="shared" si="81"/>
        <v>4.1848929992055361E-2</v>
      </c>
      <c r="AC104">
        <f t="shared" si="82"/>
        <v>0.12060564464932655</v>
      </c>
      <c r="AD104">
        <f t="shared" si="83"/>
        <v>4.1793945085382811E-2</v>
      </c>
      <c r="AE104">
        <f t="shared" si="84"/>
        <v>5.4757468085639527E-2</v>
      </c>
      <c r="AI104">
        <f t="shared" si="60"/>
        <v>9.6020996715105111E-2</v>
      </c>
      <c r="AJ104">
        <f t="shared" si="61"/>
        <v>0.24625172872719769</v>
      </c>
      <c r="AK104">
        <f t="shared" si="62"/>
        <v>0.12645588897099214</v>
      </c>
      <c r="AL104">
        <f t="shared" si="63"/>
        <v>7.831009261272992E-2</v>
      </c>
      <c r="AM104">
        <f t="shared" si="64"/>
        <v>8.3697859984110612E-2</v>
      </c>
      <c r="AN104">
        <f t="shared" si="65"/>
        <v>0.24121128929865299</v>
      </c>
      <c r="AO104">
        <f t="shared" si="66"/>
        <v>8.3587890170765622E-2</v>
      </c>
      <c r="AP104">
        <f t="shared" si="67"/>
        <v>0.10951493617127905</v>
      </c>
    </row>
    <row r="105" spans="1:42" x14ac:dyDescent="0.25">
      <c r="A105">
        <v>2.18E-2</v>
      </c>
      <c r="B105">
        <v>0.84759658494904888</v>
      </c>
      <c r="C105">
        <v>0.72932774308908987</v>
      </c>
      <c r="D105">
        <v>0.56399715391461946</v>
      </c>
      <c r="E105">
        <v>0.70782278873151816</v>
      </c>
      <c r="F105">
        <v>0.73289655571587975</v>
      </c>
      <c r="G105">
        <v>0.75953630383652981</v>
      </c>
      <c r="H105">
        <v>0.56016671379822103</v>
      </c>
      <c r="I105">
        <v>0.75185276302022497</v>
      </c>
      <c r="J105">
        <v>0.71121075443906223</v>
      </c>
      <c r="M105">
        <f t="shared" si="68"/>
        <v>0.9237982924745245</v>
      </c>
      <c r="N105">
        <f t="shared" si="69"/>
        <v>0.86466387154454494</v>
      </c>
      <c r="O105">
        <f t="shared" si="70"/>
        <v>0.78199857695730968</v>
      </c>
      <c r="P105">
        <f t="shared" si="71"/>
        <v>0.85391139436575902</v>
      </c>
      <c r="Q105">
        <f t="shared" si="72"/>
        <v>0.86644827785793987</v>
      </c>
      <c r="R105">
        <f t="shared" si="73"/>
        <v>0.87976815191826496</v>
      </c>
      <c r="S105">
        <f t="shared" si="74"/>
        <v>0.78008335689911057</v>
      </c>
      <c r="T105">
        <f t="shared" si="75"/>
        <v>0.87592638151011248</v>
      </c>
      <c r="U105">
        <f t="shared" si="76"/>
        <v>0.85560537721953112</v>
      </c>
      <c r="X105">
        <f t="shared" si="77"/>
        <v>5.9134420929979559E-2</v>
      </c>
      <c r="Y105">
        <f t="shared" si="78"/>
        <v>0.14179971551721482</v>
      </c>
      <c r="Z105">
        <f t="shared" si="79"/>
        <v>6.9886898108765472E-2</v>
      </c>
      <c r="AA105">
        <f t="shared" si="80"/>
        <v>5.7350014616584621E-2</v>
      </c>
      <c r="AB105">
        <f t="shared" si="81"/>
        <v>4.4030140556259534E-2</v>
      </c>
      <c r="AC105">
        <f t="shared" si="82"/>
        <v>0.14371493557541393</v>
      </c>
      <c r="AD105">
        <f t="shared" si="83"/>
        <v>4.7871910964412012E-2</v>
      </c>
      <c r="AE105">
        <f t="shared" si="84"/>
        <v>6.819291525499338E-2</v>
      </c>
      <c r="AI105">
        <f t="shared" si="60"/>
        <v>0.11826884185995901</v>
      </c>
      <c r="AJ105">
        <f t="shared" si="61"/>
        <v>0.28359943103442942</v>
      </c>
      <c r="AK105">
        <f t="shared" si="62"/>
        <v>0.13977379621753072</v>
      </c>
      <c r="AL105">
        <f t="shared" si="63"/>
        <v>0.11470002923316913</v>
      </c>
      <c r="AM105">
        <f t="shared" si="64"/>
        <v>8.8060281112519068E-2</v>
      </c>
      <c r="AN105">
        <f t="shared" si="65"/>
        <v>0.28742987115082785</v>
      </c>
      <c r="AO105">
        <f t="shared" si="66"/>
        <v>9.5743821928823913E-2</v>
      </c>
      <c r="AP105">
        <f t="shared" si="67"/>
        <v>0.13638583050998665</v>
      </c>
    </row>
    <row r="106" spans="1:42" x14ac:dyDescent="0.25">
      <c r="A106">
        <v>2.4299999999999999E-2</v>
      </c>
      <c r="B106">
        <v>0.8433864857783645</v>
      </c>
      <c r="C106">
        <v>0.72798956358389033</v>
      </c>
      <c r="D106">
        <v>0.55234572677599691</v>
      </c>
      <c r="E106">
        <v>0.71487135025308446</v>
      </c>
      <c r="F106">
        <v>0.71230871422001962</v>
      </c>
      <c r="G106">
        <v>0.76929361388167739</v>
      </c>
      <c r="H106">
        <v>0.53663063008336109</v>
      </c>
      <c r="I106">
        <v>0.75091009505501172</v>
      </c>
      <c r="J106">
        <v>0.7027270004483489</v>
      </c>
      <c r="M106">
        <f t="shared" si="68"/>
        <v>0.9216932428891822</v>
      </c>
      <c r="N106">
        <f t="shared" si="69"/>
        <v>0.86399478179194511</v>
      </c>
      <c r="O106">
        <f t="shared" si="70"/>
        <v>0.77617286338799851</v>
      </c>
      <c r="P106">
        <f t="shared" si="71"/>
        <v>0.85743567512654217</v>
      </c>
      <c r="Q106">
        <f t="shared" si="72"/>
        <v>0.85615435711000987</v>
      </c>
      <c r="R106">
        <f t="shared" si="73"/>
        <v>0.88464680694083864</v>
      </c>
      <c r="S106">
        <f t="shared" si="74"/>
        <v>0.7683153150416806</v>
      </c>
      <c r="T106">
        <f t="shared" si="75"/>
        <v>0.8754550475275058</v>
      </c>
      <c r="U106">
        <f t="shared" si="76"/>
        <v>0.8513635002241744</v>
      </c>
      <c r="X106">
        <f t="shared" si="77"/>
        <v>5.7698461097237086E-2</v>
      </c>
      <c r="Y106">
        <f t="shared" si="78"/>
        <v>0.14552037950118368</v>
      </c>
      <c r="Z106">
        <f t="shared" si="79"/>
        <v>6.4257567762640022E-2</v>
      </c>
      <c r="AA106">
        <f t="shared" si="80"/>
        <v>6.5538885779172329E-2</v>
      </c>
      <c r="AB106">
        <f t="shared" si="81"/>
        <v>3.7046435948343559E-2</v>
      </c>
      <c r="AC106">
        <f t="shared" si="82"/>
        <v>0.15337792784750159</v>
      </c>
      <c r="AD106">
        <f t="shared" si="83"/>
        <v>4.6238195361676393E-2</v>
      </c>
      <c r="AE106">
        <f t="shared" si="84"/>
        <v>7.0329742665007799E-2</v>
      </c>
      <c r="AI106">
        <f t="shared" si="60"/>
        <v>0.11539692219447417</v>
      </c>
      <c r="AJ106">
        <f t="shared" si="61"/>
        <v>0.29104075900236759</v>
      </c>
      <c r="AK106">
        <f t="shared" si="62"/>
        <v>0.12851513552528004</v>
      </c>
      <c r="AL106">
        <f t="shared" si="63"/>
        <v>0.13107777155834488</v>
      </c>
      <c r="AM106">
        <f t="shared" si="64"/>
        <v>7.4092871896687118E-2</v>
      </c>
      <c r="AN106">
        <f t="shared" si="65"/>
        <v>0.30675585569500341</v>
      </c>
      <c r="AO106">
        <f t="shared" si="66"/>
        <v>9.2476390723352786E-2</v>
      </c>
      <c r="AP106">
        <f t="shared" si="67"/>
        <v>0.1406594853300156</v>
      </c>
    </row>
    <row r="107" spans="1:42" x14ac:dyDescent="0.25">
      <c r="A107">
        <v>2.69E-2</v>
      </c>
      <c r="B107">
        <v>0.83151837944200679</v>
      </c>
      <c r="C107">
        <v>0.74929004209113614</v>
      </c>
      <c r="D107">
        <v>0.56236992040767142</v>
      </c>
      <c r="E107">
        <v>0.72958856094365876</v>
      </c>
      <c r="F107">
        <v>0.72900051337503147</v>
      </c>
      <c r="G107">
        <v>0.78564149251136162</v>
      </c>
      <c r="H107">
        <v>0.54882430003501226</v>
      </c>
      <c r="I107">
        <v>0.77264119636308404</v>
      </c>
      <c r="J107">
        <v>0.72287932151625833</v>
      </c>
      <c r="M107">
        <f t="shared" si="68"/>
        <v>0.91575918972100334</v>
      </c>
      <c r="N107">
        <f t="shared" si="69"/>
        <v>0.87464502104556807</v>
      </c>
      <c r="O107">
        <f t="shared" si="70"/>
        <v>0.78118496020383565</v>
      </c>
      <c r="P107">
        <f t="shared" si="71"/>
        <v>0.86479428047182938</v>
      </c>
      <c r="Q107">
        <f t="shared" si="72"/>
        <v>0.86450025668751573</v>
      </c>
      <c r="R107">
        <f t="shared" si="73"/>
        <v>0.89282074625568075</v>
      </c>
      <c r="S107">
        <f t="shared" si="74"/>
        <v>0.77441215001750607</v>
      </c>
      <c r="T107">
        <f t="shared" si="75"/>
        <v>0.88632059818154207</v>
      </c>
      <c r="U107">
        <f t="shared" si="76"/>
        <v>0.86143966075812917</v>
      </c>
      <c r="X107">
        <f t="shared" si="77"/>
        <v>4.111416867543527E-2</v>
      </c>
      <c r="Y107">
        <f t="shared" si="78"/>
        <v>0.13457422951716769</v>
      </c>
      <c r="Z107">
        <f t="shared" si="79"/>
        <v>5.0964909249173962E-2</v>
      </c>
      <c r="AA107">
        <f t="shared" si="80"/>
        <v>5.1258933033487608E-2</v>
      </c>
      <c r="AB107">
        <f t="shared" si="81"/>
        <v>2.2938443465322589E-2</v>
      </c>
      <c r="AC107">
        <f t="shared" si="82"/>
        <v>0.14134703970349727</v>
      </c>
      <c r="AD107">
        <f t="shared" si="83"/>
        <v>2.9438591539461267E-2</v>
      </c>
      <c r="AE107">
        <f t="shared" si="84"/>
        <v>5.4319528962874175E-2</v>
      </c>
      <c r="AI107">
        <f t="shared" si="60"/>
        <v>8.2228337350870651E-2</v>
      </c>
      <c r="AJ107">
        <f t="shared" si="61"/>
        <v>0.26914845903433537</v>
      </c>
      <c r="AK107">
        <f t="shared" si="62"/>
        <v>0.10192981849834803</v>
      </c>
      <c r="AL107">
        <f t="shared" si="63"/>
        <v>0.10251786606697533</v>
      </c>
      <c r="AM107">
        <f t="shared" si="64"/>
        <v>4.5876886930645178E-2</v>
      </c>
      <c r="AN107">
        <f t="shared" si="65"/>
        <v>0.28269407940699454</v>
      </c>
      <c r="AO107">
        <f t="shared" si="66"/>
        <v>5.8877183078922757E-2</v>
      </c>
      <c r="AP107">
        <f t="shared" si="67"/>
        <v>0.10863905792574846</v>
      </c>
    </row>
    <row r="108" spans="1:42" x14ac:dyDescent="0.25">
      <c r="A108">
        <v>2.9499999999999998E-2</v>
      </c>
      <c r="B108">
        <v>0.8274446553703585</v>
      </c>
      <c r="C108">
        <v>0.7391375785015335</v>
      </c>
      <c r="D108">
        <v>0.53240267409091557</v>
      </c>
      <c r="E108">
        <v>0.72955955008215867</v>
      </c>
      <c r="F108">
        <v>0.71072857596986383</v>
      </c>
      <c r="G108">
        <v>0.79927367723611242</v>
      </c>
      <c r="H108">
        <v>0.5273070979879666</v>
      </c>
      <c r="I108">
        <v>0.78102333639272592</v>
      </c>
      <c r="J108">
        <v>0.70587483569446474</v>
      </c>
      <c r="M108">
        <f t="shared" si="68"/>
        <v>0.91372232768517925</v>
      </c>
      <c r="N108">
        <f t="shared" si="69"/>
        <v>0.86956878925076675</v>
      </c>
      <c r="O108">
        <f t="shared" si="70"/>
        <v>0.76620133704545779</v>
      </c>
      <c r="P108">
        <f t="shared" si="71"/>
        <v>0.86477977504107928</v>
      </c>
      <c r="Q108">
        <f t="shared" si="72"/>
        <v>0.85536428798493191</v>
      </c>
      <c r="R108">
        <f t="shared" si="73"/>
        <v>0.89963683861805621</v>
      </c>
      <c r="S108">
        <f t="shared" si="74"/>
        <v>0.7636535489939833</v>
      </c>
      <c r="T108">
        <f t="shared" si="75"/>
        <v>0.89051166819636296</v>
      </c>
      <c r="U108">
        <f t="shared" si="76"/>
        <v>0.85293741784723243</v>
      </c>
      <c r="X108">
        <f t="shared" si="77"/>
        <v>4.4153538434412498E-2</v>
      </c>
      <c r="Y108">
        <f t="shared" si="78"/>
        <v>0.14752099063972146</v>
      </c>
      <c r="Z108">
        <f t="shared" si="79"/>
        <v>4.8942552644099968E-2</v>
      </c>
      <c r="AA108">
        <f t="shared" si="80"/>
        <v>5.8358039700247333E-2</v>
      </c>
      <c r="AB108">
        <f t="shared" si="81"/>
        <v>1.4085489067123036E-2</v>
      </c>
      <c r="AC108">
        <f t="shared" si="82"/>
        <v>0.15006877869119595</v>
      </c>
      <c r="AD108">
        <f t="shared" si="83"/>
        <v>2.3210659488816288E-2</v>
      </c>
      <c r="AE108">
        <f t="shared" si="84"/>
        <v>6.0784909837946821E-2</v>
      </c>
      <c r="AI108">
        <f t="shared" si="60"/>
        <v>8.8307076868824996E-2</v>
      </c>
      <c r="AJ108">
        <f t="shared" si="61"/>
        <v>0.29504198127944292</v>
      </c>
      <c r="AK108">
        <f t="shared" si="62"/>
        <v>9.7885105288199825E-2</v>
      </c>
      <c r="AL108">
        <f t="shared" si="63"/>
        <v>0.11671607940049467</v>
      </c>
      <c r="AM108">
        <f t="shared" si="64"/>
        <v>2.8170978134246072E-2</v>
      </c>
      <c r="AN108">
        <f t="shared" si="65"/>
        <v>0.3001375573823919</v>
      </c>
      <c r="AO108">
        <f t="shared" si="66"/>
        <v>4.6421318977632575E-2</v>
      </c>
      <c r="AP108">
        <f t="shared" si="67"/>
        <v>0.12156981967589375</v>
      </c>
    </row>
    <row r="109" spans="1:42" x14ac:dyDescent="0.25">
      <c r="A109">
        <v>3.2000000000000001E-2</v>
      </c>
      <c r="B109">
        <v>0.80845906601738027</v>
      </c>
      <c r="C109">
        <v>0.73463370873290579</v>
      </c>
      <c r="D109">
        <v>0.53248149282604607</v>
      </c>
      <c r="E109">
        <v>0.72500231502501622</v>
      </c>
      <c r="F109">
        <v>0.71494910994368233</v>
      </c>
      <c r="G109">
        <v>0.78966235088263537</v>
      </c>
      <c r="H109">
        <v>0.53308045065589582</v>
      </c>
      <c r="I109">
        <v>0.77594685550514675</v>
      </c>
      <c r="J109">
        <v>0.70551546010781963</v>
      </c>
      <c r="M109">
        <f t="shared" si="68"/>
        <v>0.90422953300869013</v>
      </c>
      <c r="N109">
        <f t="shared" si="69"/>
        <v>0.86731685436645289</v>
      </c>
      <c r="O109">
        <f t="shared" si="70"/>
        <v>0.76624074641302298</v>
      </c>
      <c r="P109">
        <f t="shared" si="71"/>
        <v>0.86250115751250811</v>
      </c>
      <c r="Q109">
        <f t="shared" si="72"/>
        <v>0.85747455497184122</v>
      </c>
      <c r="R109">
        <f t="shared" si="73"/>
        <v>0.89483117544131763</v>
      </c>
      <c r="S109">
        <f t="shared" si="74"/>
        <v>0.76654022532794786</v>
      </c>
      <c r="T109">
        <f t="shared" si="75"/>
        <v>0.88797342775257337</v>
      </c>
      <c r="U109">
        <f t="shared" si="76"/>
        <v>0.85275773005390976</v>
      </c>
      <c r="X109">
        <f t="shared" si="77"/>
        <v>3.691267864223724E-2</v>
      </c>
      <c r="Y109">
        <f t="shared" si="78"/>
        <v>0.13798878659566716</v>
      </c>
      <c r="Z109">
        <f t="shared" si="79"/>
        <v>4.1728375496182024E-2</v>
      </c>
      <c r="AA109">
        <f t="shared" si="80"/>
        <v>4.6754978036848915E-2</v>
      </c>
      <c r="AB109">
        <f t="shared" si="81"/>
        <v>9.3983575673725062E-3</v>
      </c>
      <c r="AC109">
        <f t="shared" si="82"/>
        <v>0.13768930768074228</v>
      </c>
      <c r="AD109">
        <f t="shared" si="83"/>
        <v>1.625610525611676E-2</v>
      </c>
      <c r="AE109">
        <f t="shared" si="84"/>
        <v>5.1471802954780377E-2</v>
      </c>
      <c r="AI109">
        <f t="shared" si="60"/>
        <v>7.382535728447448E-2</v>
      </c>
      <c r="AJ109">
        <f t="shared" si="61"/>
        <v>0.2759775731913342</v>
      </c>
      <c r="AK109">
        <f t="shared" si="62"/>
        <v>8.3456750992364048E-2</v>
      </c>
      <c r="AL109">
        <f t="shared" si="63"/>
        <v>9.3509956073697942E-2</v>
      </c>
      <c r="AM109">
        <f t="shared" si="64"/>
        <v>1.8796715134744901E-2</v>
      </c>
      <c r="AN109">
        <f t="shared" si="65"/>
        <v>0.27537861536148445</v>
      </c>
      <c r="AO109">
        <f t="shared" si="66"/>
        <v>3.2512210512233519E-2</v>
      </c>
      <c r="AP109">
        <f t="shared" si="67"/>
        <v>0.10294360590956064</v>
      </c>
    </row>
    <row r="110" spans="1:42" x14ac:dyDescent="0.25">
      <c r="A110">
        <v>3.4599999999999999E-2</v>
      </c>
      <c r="B110">
        <v>0.80280838403930621</v>
      </c>
      <c r="C110">
        <v>0.75214135446592001</v>
      </c>
      <c r="D110">
        <v>0.54770834969892557</v>
      </c>
      <c r="E110">
        <v>0.74136309274487888</v>
      </c>
      <c r="F110">
        <v>0.72566119002732588</v>
      </c>
      <c r="G110">
        <v>0.80704642803964033</v>
      </c>
      <c r="H110">
        <v>0.54510646752894365</v>
      </c>
      <c r="I110">
        <v>0.79121769748246373</v>
      </c>
      <c r="J110">
        <v>0.7282082574281995</v>
      </c>
      <c r="M110">
        <f t="shared" si="68"/>
        <v>0.90140419201965316</v>
      </c>
      <c r="N110">
        <f t="shared" si="69"/>
        <v>0.87607067723296006</v>
      </c>
      <c r="O110">
        <f t="shared" si="70"/>
        <v>0.77385417484946273</v>
      </c>
      <c r="P110">
        <f t="shared" si="71"/>
        <v>0.87068154637243944</v>
      </c>
      <c r="Q110">
        <f t="shared" si="72"/>
        <v>0.86283059501366299</v>
      </c>
      <c r="R110">
        <f t="shared" si="73"/>
        <v>0.90352321401982016</v>
      </c>
      <c r="S110">
        <f t="shared" si="74"/>
        <v>0.77255323376447183</v>
      </c>
      <c r="T110">
        <f t="shared" si="75"/>
        <v>0.89560884874123192</v>
      </c>
      <c r="U110">
        <f t="shared" si="76"/>
        <v>0.86410412871409981</v>
      </c>
      <c r="X110">
        <f t="shared" si="77"/>
        <v>2.5333514786693101E-2</v>
      </c>
      <c r="Y110">
        <f t="shared" si="78"/>
        <v>0.12755001717019043</v>
      </c>
      <c r="Z110">
        <f t="shared" si="79"/>
        <v>3.072264564721372E-2</v>
      </c>
      <c r="AA110">
        <f t="shared" si="80"/>
        <v>3.8573597005990168E-2</v>
      </c>
      <c r="AB110">
        <f t="shared" si="81"/>
        <v>-2.1190220001670035E-3</v>
      </c>
      <c r="AC110">
        <f t="shared" si="82"/>
        <v>0.12885095825518134</v>
      </c>
      <c r="AD110">
        <f t="shared" si="83"/>
        <v>5.7953432784212389E-3</v>
      </c>
      <c r="AE110">
        <f t="shared" si="84"/>
        <v>3.7300063305553355E-2</v>
      </c>
      <c r="AF110">
        <f>COUNT(X101:X110)</f>
        <v>10</v>
      </c>
      <c r="AI110">
        <f t="shared" si="60"/>
        <v>5.0667029573386202E-2</v>
      </c>
      <c r="AJ110">
        <f t="shared" si="61"/>
        <v>0.25510003434038064</v>
      </c>
      <c r="AK110">
        <f t="shared" si="62"/>
        <v>6.1445291294427329E-2</v>
      </c>
      <c r="AL110">
        <f t="shared" si="63"/>
        <v>7.7147194011980336E-2</v>
      </c>
      <c r="AM110">
        <f t="shared" si="64"/>
        <v>-4.238044000334118E-3</v>
      </c>
      <c r="AN110">
        <f t="shared" si="65"/>
        <v>0.25770191651036256</v>
      </c>
      <c r="AO110">
        <f t="shared" si="66"/>
        <v>1.1590686556842478E-2</v>
      </c>
      <c r="AP110">
        <f t="shared" si="67"/>
        <v>7.460012661110671E-2</v>
      </c>
    </row>
    <row r="111" spans="1:42" s="10" customFormat="1" x14ac:dyDescent="0.25">
      <c r="A111" s="10" t="s">
        <v>63</v>
      </c>
      <c r="M111" s="10">
        <f>AVERAGE(M101:M110)</f>
        <v>0.90620955842116424</v>
      </c>
      <c r="N111" s="10">
        <f t="shared" ref="N111" si="102">AVERAGE(N101:N110)</f>
        <v>0.86201961571015495</v>
      </c>
      <c r="O111" s="10">
        <f t="shared" ref="O111" si="103">AVERAGE(O101:O110)</f>
        <v>0.78056379424011479</v>
      </c>
      <c r="P111" s="10">
        <f t="shared" ref="P111" si="104">AVERAGE(P101:P110)</f>
        <v>0.85087274815307445</v>
      </c>
      <c r="Q111" s="10">
        <f t="shared" ref="Q111" si="105">AVERAGE(Q101:Q110)</f>
        <v>0.86515074037409678</v>
      </c>
      <c r="R111" s="10">
        <f t="shared" ref="R111" si="106">AVERAGE(R101:R110)</f>
        <v>0.87766406693055876</v>
      </c>
      <c r="S111" s="10">
        <f t="shared" ref="S111" si="107">AVERAGE(S101:S110)</f>
        <v>0.78205635838901411</v>
      </c>
      <c r="T111" s="10">
        <f t="shared" ref="T111" si="108">AVERAGE(T101:T110)</f>
        <v>0.87479306193792772</v>
      </c>
      <c r="U111" s="10">
        <f t="shared" ref="U111" si="109">AVERAGE(U101:U110)</f>
        <v>0.85341638046579005</v>
      </c>
      <c r="X111" s="10">
        <f>((M111-N111)/N111)*100</f>
        <v>5.126326815034763</v>
      </c>
      <c r="Y111" s="10">
        <f>((M111-O111)/O111)*100</f>
        <v>16.096796329551335</v>
      </c>
      <c r="Z111" s="10">
        <f>((M111-P111)/P111)*100</f>
        <v>6.5035353862496175</v>
      </c>
      <c r="AA111" s="10">
        <f>((M111-Q111)/Q111)*100</f>
        <v>4.7458571241947221</v>
      </c>
      <c r="AB111" s="10">
        <f>((M111-R111)/R111)*100</f>
        <v>3.2524393519307671</v>
      </c>
      <c r="AC111" s="10">
        <f>((M111-S111)/S111)*100</f>
        <v>15.875224170275626</v>
      </c>
      <c r="AD111" s="10">
        <f>((M111-T111)/T111)*100</f>
        <v>3.5913060871378661</v>
      </c>
      <c r="AE111" s="10">
        <f>((M111-U111)/U111)*100</f>
        <v>6.1860985052290607</v>
      </c>
      <c r="AI111" s="10">
        <f t="shared" si="60"/>
        <v>0</v>
      </c>
      <c r="AJ111" s="10">
        <f t="shared" si="61"/>
        <v>0</v>
      </c>
      <c r="AK111" s="10">
        <f t="shared" si="62"/>
        <v>0</v>
      </c>
      <c r="AL111" s="10">
        <f t="shared" si="63"/>
        <v>0</v>
      </c>
      <c r="AM111" s="10">
        <f t="shared" si="64"/>
        <v>0</v>
      </c>
      <c r="AN111" s="10">
        <f t="shared" si="65"/>
        <v>0</v>
      </c>
      <c r="AO111" s="10">
        <f t="shared" si="66"/>
        <v>0</v>
      </c>
      <c r="AP111" s="10">
        <f t="shared" si="67"/>
        <v>0</v>
      </c>
    </row>
    <row r="112" spans="1:42" x14ac:dyDescent="0.25">
      <c r="A112">
        <v>3.0999999999999999E-3</v>
      </c>
      <c r="B112">
        <v>0.2007316422797823</v>
      </c>
      <c r="C112">
        <v>8.5646475329710106E-2</v>
      </c>
      <c r="D112">
        <v>8.3825653182535501E-2</v>
      </c>
      <c r="E112">
        <v>8.9950328479336705E-2</v>
      </c>
      <c r="F112">
        <v>8.9950328479336705E-2</v>
      </c>
      <c r="G112">
        <v>8.2495227215508005E-2</v>
      </c>
      <c r="H112">
        <v>9.2447032403410498E-2</v>
      </c>
      <c r="I112">
        <v>9.7510231534097797E-2</v>
      </c>
      <c r="J112">
        <v>8.5821085880841003E-2</v>
      </c>
      <c r="M112">
        <f t="shared" si="68"/>
        <v>0.60036582113989112</v>
      </c>
      <c r="N112">
        <f t="shared" si="69"/>
        <v>0.54282323766485507</v>
      </c>
      <c r="O112">
        <f t="shared" si="70"/>
        <v>0.54191282659126772</v>
      </c>
      <c r="P112">
        <f t="shared" si="71"/>
        <v>0.5449751642396683</v>
      </c>
      <c r="Q112">
        <f t="shared" si="72"/>
        <v>0.5449751642396683</v>
      </c>
      <c r="R112">
        <f t="shared" si="73"/>
        <v>0.54124761360775397</v>
      </c>
      <c r="S112">
        <f t="shared" si="74"/>
        <v>0.54622351620170528</v>
      </c>
      <c r="T112">
        <f t="shared" si="75"/>
        <v>0.54875511576704894</v>
      </c>
      <c r="U112">
        <f t="shared" si="76"/>
        <v>0.54291054294042052</v>
      </c>
      <c r="X112">
        <f t="shared" si="77"/>
        <v>5.7542583475036047E-2</v>
      </c>
      <c r="Y112">
        <f t="shared" si="78"/>
        <v>5.8452994548623405E-2</v>
      </c>
      <c r="Z112">
        <f t="shared" si="79"/>
        <v>5.5390656900222823E-2</v>
      </c>
      <c r="AA112">
        <f t="shared" si="80"/>
        <v>5.5390656900222823E-2</v>
      </c>
      <c r="AB112">
        <f t="shared" si="81"/>
        <v>5.9118207532137146E-2</v>
      </c>
      <c r="AC112">
        <f t="shared" si="82"/>
        <v>5.4142304938185837E-2</v>
      </c>
      <c r="AD112">
        <f t="shared" si="83"/>
        <v>5.1610705372842181E-2</v>
      </c>
      <c r="AE112">
        <f t="shared" si="84"/>
        <v>5.7455278199470605E-2</v>
      </c>
      <c r="AI112">
        <f t="shared" si="60"/>
        <v>0.11508516695007219</v>
      </c>
      <c r="AJ112">
        <f t="shared" si="61"/>
        <v>0.1169059890972468</v>
      </c>
      <c r="AK112">
        <f t="shared" si="62"/>
        <v>0.11078131380044559</v>
      </c>
      <c r="AL112">
        <f t="shared" si="63"/>
        <v>0.11078131380044559</v>
      </c>
      <c r="AM112">
        <f t="shared" si="64"/>
        <v>0.11823641506427429</v>
      </c>
      <c r="AN112">
        <f t="shared" si="65"/>
        <v>0.1082846098763718</v>
      </c>
      <c r="AO112">
        <f t="shared" si="66"/>
        <v>0.1032214107456845</v>
      </c>
      <c r="AP112">
        <f t="shared" si="67"/>
        <v>0.11491055639894129</v>
      </c>
    </row>
    <row r="113" spans="1:42" x14ac:dyDescent="0.25">
      <c r="A113">
        <v>3.8E-3</v>
      </c>
      <c r="B113">
        <v>0.27135856669039771</v>
      </c>
      <c r="C113">
        <v>0.1021915266625176</v>
      </c>
      <c r="D113">
        <v>0.1015979837034964</v>
      </c>
      <c r="E113">
        <v>8.8979834514916395E-2</v>
      </c>
      <c r="F113">
        <v>8.8979834514916395E-2</v>
      </c>
      <c r="G113">
        <v>7.4527125283477505E-2</v>
      </c>
      <c r="H113">
        <v>9.8528859913862399E-2</v>
      </c>
      <c r="I113">
        <v>9.8876711140389706E-2</v>
      </c>
      <c r="J113">
        <v>0.1001042103732407</v>
      </c>
      <c r="M113">
        <f t="shared" si="68"/>
        <v>0.63567928334519885</v>
      </c>
      <c r="N113">
        <f t="shared" si="69"/>
        <v>0.55109576333125876</v>
      </c>
      <c r="O113">
        <f t="shared" si="70"/>
        <v>0.55079899185174819</v>
      </c>
      <c r="P113">
        <f t="shared" si="71"/>
        <v>0.54448991725745821</v>
      </c>
      <c r="Q113">
        <f t="shared" si="72"/>
        <v>0.54448991725745821</v>
      </c>
      <c r="R113">
        <f t="shared" si="73"/>
        <v>0.5372635626417388</v>
      </c>
      <c r="S113">
        <f t="shared" si="74"/>
        <v>0.54926442995693114</v>
      </c>
      <c r="T113">
        <f t="shared" si="75"/>
        <v>0.54943835557019483</v>
      </c>
      <c r="U113">
        <f t="shared" si="76"/>
        <v>0.5500521051866204</v>
      </c>
      <c r="X113">
        <f t="shared" si="77"/>
        <v>8.4583520013940094E-2</v>
      </c>
      <c r="Y113">
        <f t="shared" si="78"/>
        <v>8.4880291493450666E-2</v>
      </c>
      <c r="Z113">
        <f t="shared" si="79"/>
        <v>9.1189366087740642E-2</v>
      </c>
      <c r="AA113">
        <f t="shared" si="80"/>
        <v>9.1189366087740642E-2</v>
      </c>
      <c r="AB113">
        <f t="shared" si="81"/>
        <v>9.8415720703460052E-2</v>
      </c>
      <c r="AC113">
        <f t="shared" si="82"/>
        <v>8.6414853388267709E-2</v>
      </c>
      <c r="AD113">
        <f t="shared" si="83"/>
        <v>8.6240927775004028E-2</v>
      </c>
      <c r="AE113">
        <f t="shared" si="84"/>
        <v>8.5627178158578454E-2</v>
      </c>
      <c r="AI113">
        <f t="shared" si="60"/>
        <v>0.16916704002788011</v>
      </c>
      <c r="AJ113">
        <f t="shared" si="61"/>
        <v>0.1697605829869013</v>
      </c>
      <c r="AK113">
        <f t="shared" si="62"/>
        <v>0.18237873217548131</v>
      </c>
      <c r="AL113">
        <f t="shared" si="63"/>
        <v>0.18237873217548131</v>
      </c>
      <c r="AM113">
        <f t="shared" si="64"/>
        <v>0.19683144140692022</v>
      </c>
      <c r="AN113">
        <f t="shared" si="65"/>
        <v>0.17282970677653531</v>
      </c>
      <c r="AO113">
        <f t="shared" si="66"/>
        <v>0.172481855550008</v>
      </c>
      <c r="AP113">
        <f t="shared" si="67"/>
        <v>0.17125435631715702</v>
      </c>
    </row>
    <row r="114" spans="1:42" x14ac:dyDescent="0.25">
      <c r="A114">
        <v>4.4999999999999997E-3</v>
      </c>
      <c r="B114">
        <v>0.36469628260400477</v>
      </c>
      <c r="C114">
        <v>0.12418174722218429</v>
      </c>
      <c r="D114">
        <v>0.1232450115121007</v>
      </c>
      <c r="E114">
        <v>0.1126212808698254</v>
      </c>
      <c r="F114">
        <v>0.1126212808698254</v>
      </c>
      <c r="G114">
        <v>9.9335453791157505E-2</v>
      </c>
      <c r="H114">
        <v>0.1196540693393488</v>
      </c>
      <c r="I114">
        <v>0.1160071383435196</v>
      </c>
      <c r="J114">
        <v>0.1219238972726901</v>
      </c>
      <c r="M114">
        <f t="shared" si="68"/>
        <v>0.68234814130200239</v>
      </c>
      <c r="N114">
        <f t="shared" si="69"/>
        <v>0.56209087361109211</v>
      </c>
      <c r="O114">
        <f t="shared" si="70"/>
        <v>0.56162250575605033</v>
      </c>
      <c r="P114">
        <f t="shared" si="71"/>
        <v>0.55631064043491274</v>
      </c>
      <c r="Q114">
        <f t="shared" si="72"/>
        <v>0.55631064043491274</v>
      </c>
      <c r="R114">
        <f t="shared" si="73"/>
        <v>0.54966772689557875</v>
      </c>
      <c r="S114">
        <f t="shared" si="74"/>
        <v>0.55982703466967443</v>
      </c>
      <c r="T114">
        <f t="shared" si="75"/>
        <v>0.55800356917175975</v>
      </c>
      <c r="U114">
        <f t="shared" si="76"/>
        <v>0.56096194863634508</v>
      </c>
      <c r="X114">
        <f t="shared" si="77"/>
        <v>0.12025726769091027</v>
      </c>
      <c r="Y114">
        <f t="shared" si="78"/>
        <v>0.12072563554595206</v>
      </c>
      <c r="Z114">
        <f t="shared" si="79"/>
        <v>0.12603750086708965</v>
      </c>
      <c r="AA114">
        <f t="shared" si="80"/>
        <v>0.12603750086708965</v>
      </c>
      <c r="AB114">
        <f t="shared" si="81"/>
        <v>0.13268041440642364</v>
      </c>
      <c r="AC114">
        <f t="shared" si="82"/>
        <v>0.12252110663232796</v>
      </c>
      <c r="AD114">
        <f t="shared" si="83"/>
        <v>0.12434457213024264</v>
      </c>
      <c r="AE114">
        <f t="shared" si="84"/>
        <v>0.12138619266565731</v>
      </c>
      <c r="AI114">
        <f t="shared" si="60"/>
        <v>0.24051453538182049</v>
      </c>
      <c r="AJ114">
        <f t="shared" si="61"/>
        <v>0.24145127109190406</v>
      </c>
      <c r="AK114">
        <f t="shared" si="62"/>
        <v>0.2520750017341794</v>
      </c>
      <c r="AL114">
        <f t="shared" si="63"/>
        <v>0.2520750017341794</v>
      </c>
      <c r="AM114">
        <f t="shared" si="64"/>
        <v>0.26536082881284728</v>
      </c>
      <c r="AN114">
        <f t="shared" si="65"/>
        <v>0.24504221326465597</v>
      </c>
      <c r="AO114">
        <f t="shared" si="66"/>
        <v>0.24868914426048516</v>
      </c>
      <c r="AP114">
        <f t="shared" si="67"/>
        <v>0.24277238533131468</v>
      </c>
    </row>
    <row r="115" spans="1:42" x14ac:dyDescent="0.25">
      <c r="A115">
        <v>5.1999999999999998E-3</v>
      </c>
      <c r="B115">
        <v>0.454727088866137</v>
      </c>
      <c r="C115">
        <v>0.11053477420535859</v>
      </c>
      <c r="D115">
        <v>0.1104646013987792</v>
      </c>
      <c r="E115">
        <v>0.1024285693930883</v>
      </c>
      <c r="F115">
        <v>0.1024285693930883</v>
      </c>
      <c r="G115">
        <v>9.0743956740273995E-2</v>
      </c>
      <c r="H115">
        <v>0.1080946176848771</v>
      </c>
      <c r="I115">
        <v>0.107227084637647</v>
      </c>
      <c r="J115">
        <v>0.1093201063569481</v>
      </c>
      <c r="M115">
        <f t="shared" si="68"/>
        <v>0.7273635444330685</v>
      </c>
      <c r="N115">
        <f t="shared" si="69"/>
        <v>0.55526738710267931</v>
      </c>
      <c r="O115">
        <f t="shared" si="70"/>
        <v>0.55523230069938956</v>
      </c>
      <c r="P115">
        <f t="shared" si="71"/>
        <v>0.5512142846965441</v>
      </c>
      <c r="Q115">
        <f t="shared" si="72"/>
        <v>0.5512142846965441</v>
      </c>
      <c r="R115">
        <f t="shared" si="73"/>
        <v>0.54537197837013696</v>
      </c>
      <c r="S115">
        <f t="shared" si="74"/>
        <v>0.55404730884243858</v>
      </c>
      <c r="T115">
        <f t="shared" si="75"/>
        <v>0.55361354231882354</v>
      </c>
      <c r="U115">
        <f t="shared" si="76"/>
        <v>0.554660053178474</v>
      </c>
      <c r="X115">
        <f t="shared" si="77"/>
        <v>0.17209615733038919</v>
      </c>
      <c r="Y115">
        <f t="shared" si="78"/>
        <v>0.17213124373367894</v>
      </c>
      <c r="Z115">
        <f t="shared" si="79"/>
        <v>0.1761492597365244</v>
      </c>
      <c r="AA115">
        <f t="shared" si="80"/>
        <v>0.1761492597365244</v>
      </c>
      <c r="AB115">
        <f t="shared" si="81"/>
        <v>0.18199156606293154</v>
      </c>
      <c r="AC115">
        <f t="shared" si="82"/>
        <v>0.17331623559062992</v>
      </c>
      <c r="AD115">
        <f t="shared" si="83"/>
        <v>0.17375000211424496</v>
      </c>
      <c r="AE115">
        <f t="shared" si="84"/>
        <v>0.1727034912545945</v>
      </c>
      <c r="AI115">
        <f t="shared" si="60"/>
        <v>0.34419231466077838</v>
      </c>
      <c r="AJ115">
        <f t="shared" si="61"/>
        <v>0.34426248746735777</v>
      </c>
      <c r="AK115">
        <f t="shared" si="62"/>
        <v>0.35229851947304869</v>
      </c>
      <c r="AL115">
        <f t="shared" si="63"/>
        <v>0.35229851947304869</v>
      </c>
      <c r="AM115">
        <f t="shared" si="64"/>
        <v>0.36398313212586297</v>
      </c>
      <c r="AN115">
        <f t="shared" si="65"/>
        <v>0.34663247118125989</v>
      </c>
      <c r="AO115">
        <f t="shared" si="66"/>
        <v>0.34750000422848998</v>
      </c>
      <c r="AP115">
        <f t="shared" si="67"/>
        <v>0.34540698250918889</v>
      </c>
    </row>
    <row r="116" spans="1:42" x14ac:dyDescent="0.25">
      <c r="A116">
        <v>5.8999999999999999E-3</v>
      </c>
      <c r="B116">
        <v>0.69529383527401145</v>
      </c>
      <c r="C116">
        <v>0.1008431997132003</v>
      </c>
      <c r="D116">
        <v>0.100251809815825</v>
      </c>
      <c r="E116">
        <v>0.1056671942630487</v>
      </c>
      <c r="F116">
        <v>0.1056671942630487</v>
      </c>
      <c r="G116">
        <v>0.10273888615423719</v>
      </c>
      <c r="H116">
        <v>0.10273888615423719</v>
      </c>
      <c r="I116">
        <v>9.4596006475908101E-2</v>
      </c>
      <c r="J116">
        <v>0.1017095502262003</v>
      </c>
      <c r="M116">
        <f t="shared" si="68"/>
        <v>0.84764691763700573</v>
      </c>
      <c r="N116">
        <f t="shared" si="69"/>
        <v>0.55042159985660011</v>
      </c>
      <c r="O116">
        <f t="shared" si="70"/>
        <v>0.55012590490791247</v>
      </c>
      <c r="P116">
        <f t="shared" si="71"/>
        <v>0.55283359713152436</v>
      </c>
      <c r="Q116">
        <f t="shared" si="72"/>
        <v>0.55283359713152436</v>
      </c>
      <c r="R116">
        <f t="shared" si="73"/>
        <v>0.55136944307711855</v>
      </c>
      <c r="S116">
        <f t="shared" si="74"/>
        <v>0.55136944307711855</v>
      </c>
      <c r="T116">
        <f t="shared" si="75"/>
        <v>0.54729800323795408</v>
      </c>
      <c r="U116">
        <f t="shared" si="76"/>
        <v>0.5508547751131001</v>
      </c>
      <c r="X116">
        <f t="shared" si="77"/>
        <v>0.29722531778040562</v>
      </c>
      <c r="Y116">
        <f t="shared" si="78"/>
        <v>0.29752101272909326</v>
      </c>
      <c r="Z116">
        <f t="shared" si="79"/>
        <v>0.29481332050548137</v>
      </c>
      <c r="AA116">
        <f t="shared" si="80"/>
        <v>0.29481332050548137</v>
      </c>
      <c r="AB116">
        <f t="shared" si="81"/>
        <v>0.29627747455988718</v>
      </c>
      <c r="AC116">
        <f t="shared" si="82"/>
        <v>0.29627747455988718</v>
      </c>
      <c r="AD116">
        <f t="shared" si="83"/>
        <v>0.30034891439905165</v>
      </c>
      <c r="AE116">
        <f t="shared" si="84"/>
        <v>0.29679214252390562</v>
      </c>
      <c r="AI116">
        <f t="shared" si="60"/>
        <v>0.59445063556081112</v>
      </c>
      <c r="AJ116">
        <f t="shared" si="61"/>
        <v>0.59504202545818641</v>
      </c>
      <c r="AK116">
        <f t="shared" si="62"/>
        <v>0.58962664101096274</v>
      </c>
      <c r="AL116">
        <f t="shared" si="63"/>
        <v>0.58962664101096274</v>
      </c>
      <c r="AM116">
        <f t="shared" si="64"/>
        <v>0.59255494911977424</v>
      </c>
      <c r="AN116">
        <f t="shared" si="65"/>
        <v>0.59255494911977424</v>
      </c>
      <c r="AO116">
        <f t="shared" si="66"/>
        <v>0.60069782879810329</v>
      </c>
      <c r="AP116">
        <f t="shared" si="67"/>
        <v>0.59358428504781113</v>
      </c>
    </row>
    <row r="117" spans="1:42" x14ac:dyDescent="0.25">
      <c r="A117">
        <v>6.6E-3</v>
      </c>
      <c r="B117">
        <v>0.66651684130791755</v>
      </c>
      <c r="C117">
        <v>0.1198028036055912</v>
      </c>
      <c r="D117">
        <v>0.1185212230544385</v>
      </c>
      <c r="E117">
        <v>0.11608710325148031</v>
      </c>
      <c r="F117">
        <v>0.11608710325148031</v>
      </c>
      <c r="G117">
        <v>0.110955914740648</v>
      </c>
      <c r="H117">
        <v>0.1147670468628872</v>
      </c>
      <c r="I117">
        <v>0.10679831606184149</v>
      </c>
      <c r="J117">
        <v>0.12205506166325231</v>
      </c>
      <c r="M117">
        <f t="shared" si="68"/>
        <v>0.83325842065395883</v>
      </c>
      <c r="N117">
        <f t="shared" si="69"/>
        <v>0.55990140180279557</v>
      </c>
      <c r="O117">
        <f t="shared" si="70"/>
        <v>0.55926061152721929</v>
      </c>
      <c r="P117">
        <f t="shared" si="71"/>
        <v>0.55804355162574015</v>
      </c>
      <c r="Q117">
        <f t="shared" si="72"/>
        <v>0.55804355162574015</v>
      </c>
      <c r="R117">
        <f t="shared" si="73"/>
        <v>0.55547795737032402</v>
      </c>
      <c r="S117">
        <f t="shared" si="74"/>
        <v>0.55738352343144359</v>
      </c>
      <c r="T117">
        <f t="shared" si="75"/>
        <v>0.55339915803092077</v>
      </c>
      <c r="U117">
        <f t="shared" si="76"/>
        <v>0.56102753083162615</v>
      </c>
      <c r="X117">
        <f t="shared" si="77"/>
        <v>0.27335701885116326</v>
      </c>
      <c r="Y117">
        <f t="shared" si="78"/>
        <v>0.27399780912673954</v>
      </c>
      <c r="Z117">
        <f t="shared" si="79"/>
        <v>0.27521486902821868</v>
      </c>
      <c r="AA117">
        <f t="shared" si="80"/>
        <v>0.27521486902821868</v>
      </c>
      <c r="AB117">
        <f t="shared" si="81"/>
        <v>0.27778046328363482</v>
      </c>
      <c r="AC117">
        <f t="shared" si="82"/>
        <v>0.27587489722251524</v>
      </c>
      <c r="AD117">
        <f t="shared" si="83"/>
        <v>0.27985926262303806</v>
      </c>
      <c r="AE117">
        <f t="shared" si="84"/>
        <v>0.27223088982233268</v>
      </c>
      <c r="AI117">
        <f t="shared" si="60"/>
        <v>0.54671403770232629</v>
      </c>
      <c r="AJ117">
        <f t="shared" si="61"/>
        <v>0.54799561825347909</v>
      </c>
      <c r="AK117">
        <f t="shared" si="62"/>
        <v>0.55042973805643725</v>
      </c>
      <c r="AL117">
        <f t="shared" si="63"/>
        <v>0.55042973805643725</v>
      </c>
      <c r="AM117">
        <f t="shared" si="64"/>
        <v>0.55556092656726952</v>
      </c>
      <c r="AN117">
        <f t="shared" si="65"/>
        <v>0.55174979444503036</v>
      </c>
      <c r="AO117">
        <f t="shared" si="66"/>
        <v>0.55971852524607602</v>
      </c>
      <c r="AP117">
        <f t="shared" si="67"/>
        <v>0.54446177964466524</v>
      </c>
    </row>
    <row r="118" spans="1:42" x14ac:dyDescent="0.25">
      <c r="A118">
        <v>7.3000000000000001E-3</v>
      </c>
      <c r="B118">
        <v>0.3626423048472362</v>
      </c>
      <c r="C118">
        <v>0.12502604717064661</v>
      </c>
      <c r="D118">
        <v>0.12201396106457781</v>
      </c>
      <c r="E118">
        <v>0.1361710701139027</v>
      </c>
      <c r="F118">
        <v>0.1361710701139027</v>
      </c>
      <c r="G118">
        <v>0.13557561784791181</v>
      </c>
      <c r="H118">
        <v>0.1284765114216482</v>
      </c>
      <c r="I118">
        <v>0.11600978794138039</v>
      </c>
      <c r="J118">
        <v>0.1300478690099108</v>
      </c>
      <c r="K118">
        <f>MIN(C112:J121)</f>
        <v>7.4527125283477505E-2</v>
      </c>
      <c r="M118">
        <f t="shared" si="68"/>
        <v>0.68132115242361813</v>
      </c>
      <c r="N118">
        <f t="shared" si="69"/>
        <v>0.56251302358532329</v>
      </c>
      <c r="O118">
        <f t="shared" si="70"/>
        <v>0.56100698053228892</v>
      </c>
      <c r="P118">
        <f t="shared" si="71"/>
        <v>0.56808553505695136</v>
      </c>
      <c r="Q118">
        <f t="shared" si="72"/>
        <v>0.56808553505695136</v>
      </c>
      <c r="R118">
        <f t="shared" si="73"/>
        <v>0.56778780892395586</v>
      </c>
      <c r="S118">
        <f t="shared" si="74"/>
        <v>0.56423825571082409</v>
      </c>
      <c r="T118">
        <f t="shared" si="75"/>
        <v>0.5580048939706902</v>
      </c>
      <c r="U118">
        <f t="shared" si="76"/>
        <v>0.56502393450495536</v>
      </c>
      <c r="X118">
        <f t="shared" si="77"/>
        <v>0.11880812883829484</v>
      </c>
      <c r="Y118">
        <f t="shared" si="78"/>
        <v>0.1203141718913292</v>
      </c>
      <c r="Z118">
        <f t="shared" si="79"/>
        <v>0.11323561736666676</v>
      </c>
      <c r="AA118">
        <f t="shared" si="80"/>
        <v>0.11323561736666676</v>
      </c>
      <c r="AB118">
        <f t="shared" si="81"/>
        <v>0.11353334349966226</v>
      </c>
      <c r="AC118">
        <f t="shared" si="82"/>
        <v>0.11708289671279404</v>
      </c>
      <c r="AD118">
        <f t="shared" si="83"/>
        <v>0.12331625845292793</v>
      </c>
      <c r="AE118">
        <f t="shared" si="84"/>
        <v>0.11629721791866277</v>
      </c>
      <c r="AI118">
        <f t="shared" si="60"/>
        <v>0.23761625767658959</v>
      </c>
      <c r="AJ118">
        <f t="shared" si="61"/>
        <v>0.2406283437826584</v>
      </c>
      <c r="AK118">
        <f t="shared" si="62"/>
        <v>0.2264712347333335</v>
      </c>
      <c r="AL118">
        <f t="shared" si="63"/>
        <v>0.2264712347333335</v>
      </c>
      <c r="AM118">
        <f t="shared" si="64"/>
        <v>0.22706668699932439</v>
      </c>
      <c r="AN118">
        <f t="shared" si="65"/>
        <v>0.23416579342558799</v>
      </c>
      <c r="AO118">
        <f t="shared" si="66"/>
        <v>0.2466325169058558</v>
      </c>
      <c r="AP118">
        <f t="shared" si="67"/>
        <v>0.23259443583732539</v>
      </c>
    </row>
    <row r="119" spans="1:42" x14ac:dyDescent="0.25">
      <c r="A119">
        <v>8.0000000000000002E-3</v>
      </c>
      <c r="B119">
        <v>0.24525406166873401</v>
      </c>
      <c r="C119">
        <v>0.12899438279219119</v>
      </c>
      <c r="D119">
        <v>0.1270222700876151</v>
      </c>
      <c r="E119">
        <v>0.1354429196812362</v>
      </c>
      <c r="F119">
        <v>0.1354429196812362</v>
      </c>
      <c r="G119">
        <v>0.13365596735537061</v>
      </c>
      <c r="H119">
        <v>0.12898147108776051</v>
      </c>
      <c r="I119">
        <v>0.11236103991403559</v>
      </c>
      <c r="J119">
        <v>0.13263046606552811</v>
      </c>
      <c r="K119">
        <f>MAX(C112:J121)</f>
        <v>0.16403404545010669</v>
      </c>
      <c r="M119">
        <f t="shared" si="68"/>
        <v>0.62262703083436699</v>
      </c>
      <c r="N119">
        <f t="shared" si="69"/>
        <v>0.56449719139609555</v>
      </c>
      <c r="O119">
        <f t="shared" si="70"/>
        <v>0.56351113504380757</v>
      </c>
      <c r="P119">
        <f t="shared" si="71"/>
        <v>0.56772145984061806</v>
      </c>
      <c r="Q119">
        <f t="shared" si="72"/>
        <v>0.56772145984061806</v>
      </c>
      <c r="R119">
        <f t="shared" si="73"/>
        <v>0.56682798367768528</v>
      </c>
      <c r="S119">
        <f t="shared" si="74"/>
        <v>0.5644907355438803</v>
      </c>
      <c r="T119">
        <f t="shared" si="75"/>
        <v>0.55618051995701778</v>
      </c>
      <c r="U119">
        <f t="shared" si="76"/>
        <v>0.5663152330327641</v>
      </c>
      <c r="X119">
        <f t="shared" si="77"/>
        <v>5.8129839438271436E-2</v>
      </c>
      <c r="Y119">
        <f t="shared" si="78"/>
        <v>5.9115895790559425E-2</v>
      </c>
      <c r="Z119">
        <f t="shared" si="79"/>
        <v>5.4905570993748931E-2</v>
      </c>
      <c r="AA119">
        <f t="shared" si="80"/>
        <v>5.4905570993748931E-2</v>
      </c>
      <c r="AB119">
        <f t="shared" si="81"/>
        <v>5.5799047156681714E-2</v>
      </c>
      <c r="AC119">
        <f t="shared" si="82"/>
        <v>5.8136295290486695E-2</v>
      </c>
      <c r="AD119">
        <f t="shared" si="83"/>
        <v>6.6446510877349207E-2</v>
      </c>
      <c r="AE119">
        <f t="shared" si="84"/>
        <v>5.6311797801602892E-2</v>
      </c>
      <c r="AI119">
        <f t="shared" si="60"/>
        <v>0.11625967887654282</v>
      </c>
      <c r="AJ119">
        <f t="shared" si="61"/>
        <v>0.11823179158111891</v>
      </c>
      <c r="AK119">
        <f t="shared" si="62"/>
        <v>0.10981114198749781</v>
      </c>
      <c r="AL119">
        <f t="shared" si="63"/>
        <v>0.10981114198749781</v>
      </c>
      <c r="AM119">
        <f t="shared" si="64"/>
        <v>0.1115980943133634</v>
      </c>
      <c r="AN119">
        <f t="shared" si="65"/>
        <v>0.1162725905809735</v>
      </c>
      <c r="AO119">
        <f t="shared" si="66"/>
        <v>0.13289302175469841</v>
      </c>
      <c r="AP119">
        <f t="shared" si="67"/>
        <v>0.11262359560320589</v>
      </c>
    </row>
    <row r="120" spans="1:42" x14ac:dyDescent="0.25">
      <c r="A120">
        <v>8.6999999999999994E-3</v>
      </c>
      <c r="B120">
        <v>0.1503556825705557</v>
      </c>
      <c r="C120">
        <v>0.143176344344317</v>
      </c>
      <c r="D120">
        <v>0.1413797387489743</v>
      </c>
      <c r="E120">
        <v>0.1291909093905228</v>
      </c>
      <c r="F120">
        <v>0.1291909093905228</v>
      </c>
      <c r="G120">
        <v>0.1236005772067041</v>
      </c>
      <c r="H120">
        <v>0.12688966819679839</v>
      </c>
      <c r="I120">
        <v>0.117541725382846</v>
      </c>
      <c r="J120">
        <v>0.1433494717256282</v>
      </c>
      <c r="M120">
        <f t="shared" si="68"/>
        <v>0.57517784128527782</v>
      </c>
      <c r="N120">
        <f t="shared" si="69"/>
        <v>0.57158817217215852</v>
      </c>
      <c r="O120">
        <f t="shared" si="70"/>
        <v>0.57068986937448718</v>
      </c>
      <c r="P120">
        <f t="shared" si="71"/>
        <v>0.5645954546952614</v>
      </c>
      <c r="Q120">
        <f t="shared" si="72"/>
        <v>0.5645954546952614</v>
      </c>
      <c r="R120">
        <f t="shared" si="73"/>
        <v>0.56180028860335207</v>
      </c>
      <c r="S120">
        <f t="shared" si="74"/>
        <v>0.56344483409839918</v>
      </c>
      <c r="T120">
        <f t="shared" si="75"/>
        <v>0.55877086269142295</v>
      </c>
      <c r="U120">
        <f t="shared" si="76"/>
        <v>0.57167473586281414</v>
      </c>
      <c r="X120">
        <f t="shared" si="77"/>
        <v>3.5896691131193093E-3</v>
      </c>
      <c r="Y120">
        <f t="shared" si="78"/>
        <v>4.4879719107906446E-3</v>
      </c>
      <c r="Z120">
        <f t="shared" si="79"/>
        <v>1.0582386590016424E-2</v>
      </c>
      <c r="AA120">
        <f t="shared" si="80"/>
        <v>1.0582386590016424E-2</v>
      </c>
      <c r="AB120">
        <f t="shared" si="81"/>
        <v>1.3377552681925753E-2</v>
      </c>
      <c r="AC120">
        <f t="shared" si="82"/>
        <v>1.1733007186878641E-2</v>
      </c>
      <c r="AD120">
        <f t="shared" si="83"/>
        <v>1.6406978593854871E-2</v>
      </c>
      <c r="AE120">
        <f t="shared" si="84"/>
        <v>3.5031054224636815E-3</v>
      </c>
      <c r="AI120">
        <f t="shared" si="60"/>
        <v>7.1793382262387018E-3</v>
      </c>
      <c r="AJ120">
        <f t="shared" si="61"/>
        <v>8.9759438215814003E-3</v>
      </c>
      <c r="AK120">
        <f t="shared" si="62"/>
        <v>2.1164773180032903E-2</v>
      </c>
      <c r="AL120">
        <f t="shared" si="63"/>
        <v>2.1164773180032903E-2</v>
      </c>
      <c r="AM120">
        <f t="shared" si="64"/>
        <v>2.6755105363851603E-2</v>
      </c>
      <c r="AN120">
        <f t="shared" si="65"/>
        <v>2.346601437375731E-2</v>
      </c>
      <c r="AO120">
        <f t="shared" si="66"/>
        <v>3.28139571877097E-2</v>
      </c>
      <c r="AP120">
        <f t="shared" si="67"/>
        <v>7.0062108449275018E-3</v>
      </c>
    </row>
    <row r="121" spans="1:42" x14ac:dyDescent="0.25">
      <c r="A121">
        <v>9.4000000000000004E-3</v>
      </c>
      <c r="B121">
        <v>0.1486390439697387</v>
      </c>
      <c r="C121">
        <v>0.15556077410226879</v>
      </c>
      <c r="D121">
        <v>0.15220752179943681</v>
      </c>
      <c r="E121">
        <v>0.16403404545010669</v>
      </c>
      <c r="F121">
        <v>0.16403404545010669</v>
      </c>
      <c r="G121">
        <v>0.15987311651108241</v>
      </c>
      <c r="H121">
        <v>0.15831506773079029</v>
      </c>
      <c r="I121">
        <v>0.15658390241935469</v>
      </c>
      <c r="J121">
        <v>0.1605816560710677</v>
      </c>
      <c r="M121">
        <f t="shared" si="68"/>
        <v>0.57431952198486935</v>
      </c>
      <c r="N121">
        <f t="shared" si="69"/>
        <v>0.57778038705113444</v>
      </c>
      <c r="O121">
        <f t="shared" si="70"/>
        <v>0.57610376089971838</v>
      </c>
      <c r="P121">
        <f t="shared" si="71"/>
        <v>0.5820170227250534</v>
      </c>
      <c r="Q121">
        <f t="shared" si="72"/>
        <v>0.5820170227250534</v>
      </c>
      <c r="R121">
        <f t="shared" si="73"/>
        <v>0.57993655825554125</v>
      </c>
      <c r="S121">
        <f t="shared" si="74"/>
        <v>0.57915753386539515</v>
      </c>
      <c r="T121">
        <f t="shared" si="75"/>
        <v>0.57829195120967736</v>
      </c>
      <c r="U121">
        <f t="shared" si="76"/>
        <v>0.58029082803553389</v>
      </c>
      <c r="X121">
        <f t="shared" si="77"/>
        <v>-3.4608650662650842E-3</v>
      </c>
      <c r="Y121">
        <f t="shared" si="78"/>
        <v>-1.7842389148490234E-3</v>
      </c>
      <c r="Z121">
        <f t="shared" si="79"/>
        <v>-7.697500740184049E-3</v>
      </c>
      <c r="AA121">
        <f t="shared" si="80"/>
        <v>-7.697500740184049E-3</v>
      </c>
      <c r="AB121">
        <f t="shared" si="81"/>
        <v>-5.6170362706718935E-3</v>
      </c>
      <c r="AC121">
        <f t="shared" si="82"/>
        <v>-4.8380118805257943E-3</v>
      </c>
      <c r="AD121">
        <f t="shared" si="83"/>
        <v>-3.9724292248080051E-3</v>
      </c>
      <c r="AE121">
        <f t="shared" si="84"/>
        <v>-5.9713060506645377E-3</v>
      </c>
      <c r="AF121">
        <f>COUNT(X112:X121)</f>
        <v>10</v>
      </c>
      <c r="AI121">
        <f t="shared" si="60"/>
        <v>-6.9217301325300851E-3</v>
      </c>
      <c r="AJ121">
        <f t="shared" si="61"/>
        <v>-3.5684778296981023E-3</v>
      </c>
      <c r="AK121">
        <f t="shared" si="62"/>
        <v>-1.5395001480367987E-2</v>
      </c>
      <c r="AL121">
        <f t="shared" si="63"/>
        <v>-1.5395001480367987E-2</v>
      </c>
      <c r="AM121">
        <f t="shared" si="64"/>
        <v>-1.1234072541343704E-2</v>
      </c>
      <c r="AN121">
        <f t="shared" si="65"/>
        <v>-9.6760237610515887E-3</v>
      </c>
      <c r="AO121">
        <f t="shared" si="66"/>
        <v>-7.9448584496159824E-3</v>
      </c>
      <c r="AP121">
        <f t="shared" si="67"/>
        <v>-1.1942612101328992E-2</v>
      </c>
    </row>
    <row r="122" spans="1:42" s="10" customFormat="1" x14ac:dyDescent="0.25">
      <c r="A122" s="10" t="s">
        <v>38</v>
      </c>
      <c r="M122" s="10">
        <f>AVERAGE(M112:M121)</f>
        <v>0.67801076750392575</v>
      </c>
      <c r="N122" s="10">
        <f t="shared" ref="N122" si="110">AVERAGE(N112:N121)</f>
        <v>0.55979790375739924</v>
      </c>
      <c r="O122" s="10">
        <f t="shared" ref="O122" si="111">AVERAGE(O112:O121)</f>
        <v>0.55902648871838889</v>
      </c>
      <c r="P122" s="10">
        <f t="shared" ref="P122" si="112">AVERAGE(P112:P121)</f>
        <v>0.55902866277037322</v>
      </c>
      <c r="Q122" s="10">
        <f t="shared" ref="Q122" si="113">AVERAGE(Q112:Q121)</f>
        <v>0.55902866277037322</v>
      </c>
      <c r="R122" s="10">
        <f t="shared" ref="R122" si="114">AVERAGE(R112:R121)</f>
        <v>0.55567509214231858</v>
      </c>
      <c r="S122" s="10">
        <f t="shared" ref="S122" si="115">AVERAGE(S112:S121)</f>
        <v>0.55894466153978095</v>
      </c>
      <c r="T122" s="10">
        <f t="shared" ref="T122" si="116">AVERAGE(T112:T121)</f>
        <v>0.55617559719255105</v>
      </c>
      <c r="U122" s="10">
        <f t="shared" ref="U122" si="117">AVERAGE(U112:U121)</f>
        <v>0.5603771687322654</v>
      </c>
      <c r="X122" s="10">
        <f>((M122-N122)/N122)*100</f>
        <v>21.117060809458955</v>
      </c>
      <c r="Y122" s="10">
        <f>((M122-O122)/O122)*100</f>
        <v>21.284193358765062</v>
      </c>
      <c r="Z122" s="10">
        <f>((M122-P122)/P122)*100</f>
        <v>21.283721686811909</v>
      </c>
      <c r="AA122" s="10">
        <f>((M122-Q122)/Q122)*100</f>
        <v>21.283721686811909</v>
      </c>
      <c r="AB122" s="10">
        <f>((M122-R122)/R122)*100</f>
        <v>22.015684541475679</v>
      </c>
      <c r="AC122" s="10">
        <f>((M122-S122)/S122)*100</f>
        <v>21.301948861295401</v>
      </c>
      <c r="AD122" s="10">
        <f>((M122-T122)/T122)*100</f>
        <v>21.905882049908545</v>
      </c>
      <c r="AE122" s="10">
        <f>((M122-U122)/U122)*100</f>
        <v>20.991861434644356</v>
      </c>
      <c r="AI122" s="10">
        <f t="shared" si="60"/>
        <v>0</v>
      </c>
      <c r="AJ122" s="10">
        <f t="shared" si="61"/>
        <v>0</v>
      </c>
      <c r="AK122" s="10">
        <f t="shared" si="62"/>
        <v>0</v>
      </c>
      <c r="AL122" s="10">
        <f t="shared" si="63"/>
        <v>0</v>
      </c>
      <c r="AM122" s="10">
        <f t="shared" si="64"/>
        <v>0</v>
      </c>
      <c r="AN122" s="10">
        <f t="shared" si="65"/>
        <v>0</v>
      </c>
      <c r="AO122" s="10">
        <f t="shared" si="66"/>
        <v>0</v>
      </c>
      <c r="AP122" s="10">
        <f t="shared" si="67"/>
        <v>0</v>
      </c>
    </row>
    <row r="123" spans="1:42" x14ac:dyDescent="0.25">
      <c r="A123">
        <v>1.3299999999999999E-2</v>
      </c>
      <c r="B123">
        <v>0.78604289197231081</v>
      </c>
      <c r="C123">
        <v>0.71308719616210225</v>
      </c>
      <c r="D123">
        <v>0.49115387644676822</v>
      </c>
      <c r="E123">
        <v>0.67861841279316248</v>
      </c>
      <c r="F123">
        <v>0.7836494468468207</v>
      </c>
      <c r="G123">
        <v>0.71463045224959787</v>
      </c>
      <c r="H123">
        <v>0.71082375390044228</v>
      </c>
      <c r="I123">
        <v>0.78706060462272143</v>
      </c>
      <c r="J123">
        <v>0.65290020874977661</v>
      </c>
      <c r="M123">
        <f t="shared" si="68"/>
        <v>0.8930214459861554</v>
      </c>
      <c r="N123">
        <f t="shared" si="69"/>
        <v>0.85654359808105118</v>
      </c>
      <c r="O123">
        <f t="shared" si="70"/>
        <v>0.74557693822338411</v>
      </c>
      <c r="P123">
        <f t="shared" si="71"/>
        <v>0.83930920639658124</v>
      </c>
      <c r="Q123">
        <f t="shared" si="72"/>
        <v>0.89182472342341035</v>
      </c>
      <c r="R123">
        <f t="shared" si="73"/>
        <v>0.85731522612479893</v>
      </c>
      <c r="S123">
        <f t="shared" si="74"/>
        <v>0.85541187695022114</v>
      </c>
      <c r="T123">
        <f t="shared" si="75"/>
        <v>0.89353030231136077</v>
      </c>
      <c r="U123">
        <f t="shared" si="76"/>
        <v>0.82645010437488831</v>
      </c>
      <c r="X123">
        <f t="shared" si="77"/>
        <v>3.6477847905104221E-2</v>
      </c>
      <c r="Y123">
        <f t="shared" si="78"/>
        <v>0.14744450776277129</v>
      </c>
      <c r="Z123">
        <f t="shared" si="79"/>
        <v>5.3712239589574162E-2</v>
      </c>
      <c r="AA123">
        <f t="shared" si="80"/>
        <v>1.1967225627450562E-3</v>
      </c>
      <c r="AB123">
        <f t="shared" si="81"/>
        <v>3.570621986135647E-2</v>
      </c>
      <c r="AC123">
        <f t="shared" si="82"/>
        <v>3.7609569035934265E-2</v>
      </c>
      <c r="AD123">
        <f t="shared" si="83"/>
        <v>-5.0885632520536461E-4</v>
      </c>
      <c r="AE123">
        <f t="shared" si="84"/>
        <v>6.6571341611267099E-2</v>
      </c>
      <c r="AI123">
        <f t="shared" si="60"/>
        <v>7.2955695810208554E-2</v>
      </c>
      <c r="AJ123">
        <f t="shared" si="61"/>
        <v>0.29488901552554259</v>
      </c>
      <c r="AK123">
        <f t="shared" si="62"/>
        <v>0.10742447917914832</v>
      </c>
      <c r="AL123">
        <f t="shared" si="63"/>
        <v>2.3934451254901123E-3</v>
      </c>
      <c r="AM123">
        <f t="shared" si="64"/>
        <v>7.1412439722712939E-2</v>
      </c>
      <c r="AN123">
        <f t="shared" si="65"/>
        <v>7.521913807186853E-2</v>
      </c>
      <c r="AO123">
        <f t="shared" si="66"/>
        <v>-1.0177126504106182E-3</v>
      </c>
      <c r="AP123">
        <f t="shared" si="67"/>
        <v>0.1331426832225342</v>
      </c>
    </row>
    <row r="124" spans="1:42" x14ac:dyDescent="0.25">
      <c r="A124">
        <v>1.6199999999999999E-2</v>
      </c>
      <c r="B124">
        <v>0.79630190270429491</v>
      </c>
      <c r="C124">
        <v>0.70837405450846169</v>
      </c>
      <c r="D124">
        <v>0.4693700818004789</v>
      </c>
      <c r="E124">
        <v>0.67042889825052043</v>
      </c>
      <c r="F124">
        <v>0.78063682887082031</v>
      </c>
      <c r="G124">
        <v>0.72759151398809063</v>
      </c>
      <c r="H124">
        <v>0.70097481877298962</v>
      </c>
      <c r="I124">
        <v>0.78123597307026338</v>
      </c>
      <c r="J124">
        <v>0.64250030303016137</v>
      </c>
      <c r="M124">
        <f t="shared" si="68"/>
        <v>0.89815095135214751</v>
      </c>
      <c r="N124">
        <f t="shared" si="69"/>
        <v>0.8541870272542309</v>
      </c>
      <c r="O124">
        <f t="shared" si="70"/>
        <v>0.73468504090023945</v>
      </c>
      <c r="P124">
        <f t="shared" si="71"/>
        <v>0.83521444912526022</v>
      </c>
      <c r="Q124">
        <f t="shared" si="72"/>
        <v>0.89031841443541015</v>
      </c>
      <c r="R124">
        <f t="shared" si="73"/>
        <v>0.86379575699404532</v>
      </c>
      <c r="S124">
        <f t="shared" si="74"/>
        <v>0.85048740938649481</v>
      </c>
      <c r="T124">
        <f t="shared" si="75"/>
        <v>0.89061798653513169</v>
      </c>
      <c r="U124">
        <f t="shared" si="76"/>
        <v>0.82125015151508074</v>
      </c>
      <c r="X124">
        <f t="shared" si="77"/>
        <v>4.3963924097916607E-2</v>
      </c>
      <c r="Y124">
        <f t="shared" si="78"/>
        <v>0.16346591045190806</v>
      </c>
      <c r="Z124">
        <f t="shared" si="79"/>
        <v>6.2936502226887292E-2</v>
      </c>
      <c r="AA124">
        <f t="shared" si="80"/>
        <v>7.8325369167373537E-3</v>
      </c>
      <c r="AB124">
        <f t="shared" si="81"/>
        <v>3.4355194358102192E-2</v>
      </c>
      <c r="AC124">
        <f t="shared" si="82"/>
        <v>4.76635419656527E-2</v>
      </c>
      <c r="AD124">
        <f t="shared" si="83"/>
        <v>7.5329648170158192E-3</v>
      </c>
      <c r="AE124">
        <f t="shared" si="84"/>
        <v>7.6900799837066769E-2</v>
      </c>
      <c r="AI124">
        <f t="shared" si="60"/>
        <v>8.7927848195833214E-2</v>
      </c>
      <c r="AJ124">
        <f t="shared" si="61"/>
        <v>0.32693182090381601</v>
      </c>
      <c r="AK124">
        <f t="shared" si="62"/>
        <v>0.12587300445377447</v>
      </c>
      <c r="AL124">
        <f t="shared" si="63"/>
        <v>1.5665073833474596E-2</v>
      </c>
      <c r="AM124">
        <f t="shared" si="64"/>
        <v>6.8710388716204274E-2</v>
      </c>
      <c r="AN124">
        <f t="shared" si="65"/>
        <v>9.532708393130529E-2</v>
      </c>
      <c r="AO124">
        <f t="shared" si="66"/>
        <v>1.5065929634031527E-2</v>
      </c>
      <c r="AP124">
        <f t="shared" si="67"/>
        <v>0.15380159967413354</v>
      </c>
    </row>
    <row r="125" spans="1:42" x14ac:dyDescent="0.25">
      <c r="A125">
        <v>1.9199999999999998E-2</v>
      </c>
      <c r="B125">
        <v>0.80615059654536447</v>
      </c>
      <c r="C125">
        <v>0.70361463456296391</v>
      </c>
      <c r="D125">
        <v>0.47154587765676798</v>
      </c>
      <c r="E125">
        <v>0.66373312088679037</v>
      </c>
      <c r="F125">
        <v>0.7801299836117167</v>
      </c>
      <c r="G125">
        <v>0.74170891102014891</v>
      </c>
      <c r="H125">
        <v>0.69581095528871584</v>
      </c>
      <c r="I125">
        <v>0.7826782272099515</v>
      </c>
      <c r="J125">
        <v>0.64252004024483711</v>
      </c>
      <c r="M125">
        <f t="shared" si="68"/>
        <v>0.90307529827268218</v>
      </c>
      <c r="N125">
        <f t="shared" si="69"/>
        <v>0.85180731728148196</v>
      </c>
      <c r="O125">
        <f t="shared" si="70"/>
        <v>0.73577293882838402</v>
      </c>
      <c r="P125">
        <f t="shared" si="71"/>
        <v>0.83186656044339524</v>
      </c>
      <c r="Q125">
        <f t="shared" si="72"/>
        <v>0.8900649918058583</v>
      </c>
      <c r="R125">
        <f t="shared" si="73"/>
        <v>0.87085445551007445</v>
      </c>
      <c r="S125">
        <f t="shared" si="74"/>
        <v>0.84790547764435797</v>
      </c>
      <c r="T125">
        <f t="shared" si="75"/>
        <v>0.89133911360497575</v>
      </c>
      <c r="U125">
        <f t="shared" si="76"/>
        <v>0.8212600201224185</v>
      </c>
      <c r="X125">
        <f t="shared" si="77"/>
        <v>5.1267980991200224E-2</v>
      </c>
      <c r="Y125">
        <f t="shared" si="78"/>
        <v>0.16730235944429817</v>
      </c>
      <c r="Z125">
        <f t="shared" si="79"/>
        <v>7.1208737829286939E-2</v>
      </c>
      <c r="AA125">
        <f t="shared" si="80"/>
        <v>1.3010306466823884E-2</v>
      </c>
      <c r="AB125">
        <f t="shared" si="81"/>
        <v>3.2220842762607727E-2</v>
      </c>
      <c r="AC125">
        <f t="shared" si="82"/>
        <v>5.5169820628324207E-2</v>
      </c>
      <c r="AD125">
        <f t="shared" si="83"/>
        <v>1.1736184667706429E-2</v>
      </c>
      <c r="AE125">
        <f t="shared" si="84"/>
        <v>8.1815278150263682E-2</v>
      </c>
      <c r="AI125">
        <f t="shared" si="60"/>
        <v>0.10253596198240056</v>
      </c>
      <c r="AJ125">
        <f t="shared" si="61"/>
        <v>0.3346047188885965</v>
      </c>
      <c r="AK125">
        <f t="shared" si="62"/>
        <v>0.1424174756585741</v>
      </c>
      <c r="AL125">
        <f t="shared" si="63"/>
        <v>2.6020612933647769E-2</v>
      </c>
      <c r="AM125">
        <f t="shared" si="64"/>
        <v>6.4441685525215564E-2</v>
      </c>
      <c r="AN125">
        <f t="shared" si="65"/>
        <v>0.11033964125664864</v>
      </c>
      <c r="AO125">
        <f t="shared" si="66"/>
        <v>2.3472369335412968E-2</v>
      </c>
      <c r="AP125">
        <f t="shared" si="67"/>
        <v>0.16363055630052736</v>
      </c>
    </row>
    <row r="126" spans="1:42" x14ac:dyDescent="0.25">
      <c r="A126">
        <v>2.2100000000000002E-2</v>
      </c>
      <c r="B126">
        <v>0.83583101141141602</v>
      </c>
      <c r="C126">
        <v>0.70500396145773703</v>
      </c>
      <c r="D126">
        <v>0.45161559309188531</v>
      </c>
      <c r="E126">
        <v>0.6731707798072688</v>
      </c>
      <c r="F126">
        <v>0.77539825770587911</v>
      </c>
      <c r="G126">
        <v>0.77613561251549523</v>
      </c>
      <c r="H126">
        <v>0.68139605418027049</v>
      </c>
      <c r="I126">
        <v>0.78701577847815374</v>
      </c>
      <c r="J126">
        <v>0.632435307348307</v>
      </c>
      <c r="M126">
        <f t="shared" si="68"/>
        <v>0.91791550570570801</v>
      </c>
      <c r="N126">
        <f t="shared" si="69"/>
        <v>0.85250198072886851</v>
      </c>
      <c r="O126">
        <f t="shared" si="70"/>
        <v>0.72580779654594263</v>
      </c>
      <c r="P126">
        <f t="shared" si="71"/>
        <v>0.8365853899036344</v>
      </c>
      <c r="Q126">
        <f t="shared" si="72"/>
        <v>0.88769912885293956</v>
      </c>
      <c r="R126">
        <f t="shared" si="73"/>
        <v>0.88806780625774762</v>
      </c>
      <c r="S126">
        <f t="shared" si="74"/>
        <v>0.84069802709013519</v>
      </c>
      <c r="T126">
        <f t="shared" si="75"/>
        <v>0.89350788923907687</v>
      </c>
      <c r="U126">
        <f t="shared" si="76"/>
        <v>0.81621765367415344</v>
      </c>
      <c r="X126">
        <f t="shared" si="77"/>
        <v>6.5413524976839499E-2</v>
      </c>
      <c r="Y126">
        <f t="shared" si="78"/>
        <v>0.19210770915976538</v>
      </c>
      <c r="Z126">
        <f t="shared" si="79"/>
        <v>8.133011580207361E-2</v>
      </c>
      <c r="AA126">
        <f t="shared" si="80"/>
        <v>3.0216376852768456E-2</v>
      </c>
      <c r="AB126">
        <f t="shared" si="81"/>
        <v>2.9847699447960396E-2</v>
      </c>
      <c r="AC126">
        <f t="shared" si="82"/>
        <v>7.7217478615572821E-2</v>
      </c>
      <c r="AD126">
        <f t="shared" si="83"/>
        <v>2.4407616466631143E-2</v>
      </c>
      <c r="AE126">
        <f t="shared" si="84"/>
        <v>0.10169785203155457</v>
      </c>
      <c r="AI126">
        <f t="shared" si="60"/>
        <v>0.130827049953679</v>
      </c>
      <c r="AJ126">
        <f t="shared" si="61"/>
        <v>0.38421541831953071</v>
      </c>
      <c r="AK126">
        <f t="shared" si="62"/>
        <v>0.16266023160414722</v>
      </c>
      <c r="AL126">
        <f t="shared" si="63"/>
        <v>6.0432753705536912E-2</v>
      </c>
      <c r="AM126">
        <f t="shared" si="64"/>
        <v>5.9695398895920793E-2</v>
      </c>
      <c r="AN126">
        <f t="shared" si="65"/>
        <v>0.15443495723114553</v>
      </c>
      <c r="AO126">
        <f t="shared" si="66"/>
        <v>4.8815232933262287E-2</v>
      </c>
      <c r="AP126">
        <f t="shared" si="67"/>
        <v>0.20339570406310903</v>
      </c>
    </row>
    <row r="127" spans="1:42" x14ac:dyDescent="0.25">
      <c r="A127">
        <v>2.5100000000000001E-2</v>
      </c>
      <c r="B127">
        <v>0.84825324700904703</v>
      </c>
      <c r="C127">
        <v>0.69233533163100691</v>
      </c>
      <c r="D127">
        <v>0.43334582773472419</v>
      </c>
      <c r="E127">
        <v>0.6762218069140179</v>
      </c>
      <c r="F127">
        <v>0.75908023130962798</v>
      </c>
      <c r="G127">
        <v>0.79340243821219136</v>
      </c>
      <c r="H127">
        <v>0.66032219736366737</v>
      </c>
      <c r="I127">
        <v>0.78334703065386035</v>
      </c>
      <c r="J127">
        <v>0.61497025715160281</v>
      </c>
      <c r="M127">
        <f t="shared" si="68"/>
        <v>0.92412662350452357</v>
      </c>
      <c r="N127">
        <f t="shared" si="69"/>
        <v>0.84616766581550351</v>
      </c>
      <c r="O127">
        <f t="shared" si="70"/>
        <v>0.71667291386736209</v>
      </c>
      <c r="P127">
        <f t="shared" si="71"/>
        <v>0.83811090345700889</v>
      </c>
      <c r="Q127">
        <f t="shared" si="72"/>
        <v>0.87954011565481394</v>
      </c>
      <c r="R127">
        <f t="shared" si="73"/>
        <v>0.89670121910609568</v>
      </c>
      <c r="S127">
        <f t="shared" si="74"/>
        <v>0.83016109868183374</v>
      </c>
      <c r="T127">
        <f t="shared" si="75"/>
        <v>0.89167351532693018</v>
      </c>
      <c r="U127">
        <f t="shared" si="76"/>
        <v>0.80748512857580135</v>
      </c>
      <c r="X127">
        <f t="shared" si="77"/>
        <v>7.7958957689020059E-2</v>
      </c>
      <c r="Y127">
        <f t="shared" si="78"/>
        <v>0.20745370963716148</v>
      </c>
      <c r="Z127">
        <f t="shared" si="79"/>
        <v>8.6015720047514677E-2</v>
      </c>
      <c r="AA127">
        <f t="shared" si="80"/>
        <v>4.4586507849709633E-2</v>
      </c>
      <c r="AB127">
        <f t="shared" si="81"/>
        <v>2.7425404398427888E-2</v>
      </c>
      <c r="AC127">
        <f t="shared" si="82"/>
        <v>9.3965524822689828E-2</v>
      </c>
      <c r="AD127">
        <f t="shared" si="83"/>
        <v>3.2453108177593393E-2</v>
      </c>
      <c r="AE127">
        <f t="shared" si="84"/>
        <v>0.11664149492872222</v>
      </c>
      <c r="AI127">
        <f t="shared" si="60"/>
        <v>0.15591791537804012</v>
      </c>
      <c r="AJ127">
        <f t="shared" si="61"/>
        <v>0.41490741927432284</v>
      </c>
      <c r="AK127">
        <f t="shared" si="62"/>
        <v>0.17203144009502913</v>
      </c>
      <c r="AL127">
        <f t="shared" si="63"/>
        <v>8.9173015699419045E-2</v>
      </c>
      <c r="AM127">
        <f t="shared" si="64"/>
        <v>5.4850808796855666E-2</v>
      </c>
      <c r="AN127">
        <f t="shared" si="65"/>
        <v>0.18793104964537966</v>
      </c>
      <c r="AO127">
        <f t="shared" si="66"/>
        <v>6.4906216355186674E-2</v>
      </c>
      <c r="AP127">
        <f t="shared" si="67"/>
        <v>0.23328298985744422</v>
      </c>
    </row>
    <row r="128" spans="1:42" x14ac:dyDescent="0.25">
      <c r="A128">
        <v>2.8000000000000001E-2</v>
      </c>
      <c r="B128">
        <v>0.85219581299841818</v>
      </c>
      <c r="C128">
        <v>0.70088761220534601</v>
      </c>
      <c r="D128">
        <v>0.44880140167694338</v>
      </c>
      <c r="E128">
        <v>0.68469492239183627</v>
      </c>
      <c r="F128">
        <v>0.765017869072532</v>
      </c>
      <c r="G128">
        <v>0.78779952312518031</v>
      </c>
      <c r="H128">
        <v>0.66805194338085139</v>
      </c>
      <c r="I128">
        <v>0.78718385433472093</v>
      </c>
      <c r="J128">
        <v>0.62803347200099846</v>
      </c>
      <c r="M128">
        <f t="shared" si="68"/>
        <v>0.92609790649920909</v>
      </c>
      <c r="N128">
        <f t="shared" si="69"/>
        <v>0.85044380610267301</v>
      </c>
      <c r="O128">
        <f t="shared" si="70"/>
        <v>0.72440070083847163</v>
      </c>
      <c r="P128">
        <f t="shared" si="71"/>
        <v>0.84234746119591808</v>
      </c>
      <c r="Q128">
        <f t="shared" si="72"/>
        <v>0.882508934536266</v>
      </c>
      <c r="R128">
        <f t="shared" si="73"/>
        <v>0.8938997615625901</v>
      </c>
      <c r="S128">
        <f t="shared" si="74"/>
        <v>0.83402597169042569</v>
      </c>
      <c r="T128">
        <f t="shared" si="75"/>
        <v>0.89359192716736047</v>
      </c>
      <c r="U128">
        <f t="shared" si="76"/>
        <v>0.81401673600049929</v>
      </c>
      <c r="X128">
        <f t="shared" si="77"/>
        <v>7.5654100396536084E-2</v>
      </c>
      <c r="Y128">
        <f t="shared" si="78"/>
        <v>0.20169720566073746</v>
      </c>
      <c r="Z128">
        <f t="shared" si="79"/>
        <v>8.375044530329101E-2</v>
      </c>
      <c r="AA128">
        <f t="shared" si="80"/>
        <v>4.3588971962943091E-2</v>
      </c>
      <c r="AB128">
        <f t="shared" si="81"/>
        <v>3.2198144936618989E-2</v>
      </c>
      <c r="AC128">
        <f t="shared" si="82"/>
        <v>9.2071934808783396E-2</v>
      </c>
      <c r="AD128">
        <f t="shared" si="83"/>
        <v>3.2505979331848622E-2</v>
      </c>
      <c r="AE128">
        <f t="shared" si="84"/>
        <v>0.1120811704987098</v>
      </c>
      <c r="AI128">
        <f t="shared" si="60"/>
        <v>0.15130820079307217</v>
      </c>
      <c r="AJ128">
        <f t="shared" si="61"/>
        <v>0.4033944113214748</v>
      </c>
      <c r="AK128">
        <f t="shared" si="62"/>
        <v>0.16750089060658191</v>
      </c>
      <c r="AL128">
        <f t="shared" si="63"/>
        <v>8.7177943925886181E-2</v>
      </c>
      <c r="AM128">
        <f t="shared" si="64"/>
        <v>6.4396289873237866E-2</v>
      </c>
      <c r="AN128">
        <f t="shared" si="65"/>
        <v>0.18414386961756679</v>
      </c>
      <c r="AO128">
        <f t="shared" si="66"/>
        <v>6.5011958663697245E-2</v>
      </c>
      <c r="AP128">
        <f t="shared" si="67"/>
        <v>0.22416234099741972</v>
      </c>
    </row>
    <row r="129" spans="1:42" x14ac:dyDescent="0.25">
      <c r="A129">
        <v>3.1E-2</v>
      </c>
      <c r="B129">
        <v>0.83724867079858833</v>
      </c>
      <c r="C129">
        <v>0.69243395833594623</v>
      </c>
      <c r="D129">
        <v>0.43873112638915612</v>
      </c>
      <c r="E129">
        <v>0.68342266451544098</v>
      </c>
      <c r="F129">
        <v>0.75792876039455281</v>
      </c>
      <c r="G129">
        <v>0.79810207850574022</v>
      </c>
      <c r="H129">
        <v>0.65509104984875688</v>
      </c>
      <c r="I129">
        <v>0.78507309669839676</v>
      </c>
      <c r="J129">
        <v>0.61928699748054516</v>
      </c>
      <c r="M129">
        <f t="shared" si="68"/>
        <v>0.91862433539929422</v>
      </c>
      <c r="N129">
        <f t="shared" si="69"/>
        <v>0.84621697916797312</v>
      </c>
      <c r="O129">
        <f t="shared" si="70"/>
        <v>0.71936556319457812</v>
      </c>
      <c r="P129">
        <f t="shared" si="71"/>
        <v>0.84171133225772055</v>
      </c>
      <c r="Q129">
        <f t="shared" si="72"/>
        <v>0.87896438019727641</v>
      </c>
      <c r="R129">
        <f t="shared" si="73"/>
        <v>0.89905103925287011</v>
      </c>
      <c r="S129">
        <f t="shared" si="74"/>
        <v>0.82754552492437838</v>
      </c>
      <c r="T129">
        <f t="shared" si="75"/>
        <v>0.89253654834919838</v>
      </c>
      <c r="U129">
        <f t="shared" si="76"/>
        <v>0.80964349874027253</v>
      </c>
      <c r="X129">
        <f t="shared" si="77"/>
        <v>7.2407356231321107E-2</v>
      </c>
      <c r="Y129">
        <f t="shared" si="78"/>
        <v>0.19925877220471611</v>
      </c>
      <c r="Z129">
        <f t="shared" si="79"/>
        <v>7.6913003141573677E-2</v>
      </c>
      <c r="AA129">
        <f t="shared" si="80"/>
        <v>3.9659955202017816E-2</v>
      </c>
      <c r="AB129">
        <f t="shared" si="81"/>
        <v>1.9573296146424113E-2</v>
      </c>
      <c r="AC129">
        <f t="shared" si="82"/>
        <v>9.1078810474915839E-2</v>
      </c>
      <c r="AD129">
        <f t="shared" si="83"/>
        <v>2.6087787050095845E-2</v>
      </c>
      <c r="AE129">
        <f t="shared" si="84"/>
        <v>0.1089808366590217</v>
      </c>
      <c r="AI129">
        <f t="shared" si="60"/>
        <v>0.1448147124626421</v>
      </c>
      <c r="AJ129">
        <f t="shared" si="61"/>
        <v>0.39851754440943221</v>
      </c>
      <c r="AK129">
        <f t="shared" si="62"/>
        <v>0.15382600628314735</v>
      </c>
      <c r="AL129">
        <f t="shared" si="63"/>
        <v>7.9319910404035521E-2</v>
      </c>
      <c r="AM129">
        <f t="shared" si="64"/>
        <v>3.9146592292848115E-2</v>
      </c>
      <c r="AN129">
        <f t="shared" si="65"/>
        <v>0.18215762094983146</v>
      </c>
      <c r="AO129">
        <f t="shared" si="66"/>
        <v>5.217557410019158E-2</v>
      </c>
      <c r="AP129">
        <f t="shared" si="67"/>
        <v>0.21796167331804317</v>
      </c>
    </row>
    <row r="130" spans="1:42" x14ac:dyDescent="0.25">
      <c r="A130">
        <v>3.39E-2</v>
      </c>
      <c r="B130">
        <v>0.8427153616611659</v>
      </c>
      <c r="C130">
        <v>0.70775307145433186</v>
      </c>
      <c r="D130">
        <v>0.45996152775884752</v>
      </c>
      <c r="E130">
        <v>0.68674885716559297</v>
      </c>
      <c r="F130">
        <v>0.77239397127816878</v>
      </c>
      <c r="G130">
        <v>0.81331589367878565</v>
      </c>
      <c r="H130">
        <v>0.6693852429684759</v>
      </c>
      <c r="I130">
        <v>0.79208022390185473</v>
      </c>
      <c r="J130">
        <v>0.63973737550213272</v>
      </c>
      <c r="M130">
        <f t="shared" si="68"/>
        <v>0.921357680830583</v>
      </c>
      <c r="N130">
        <f t="shared" si="69"/>
        <v>0.85387653572716593</v>
      </c>
      <c r="O130">
        <f t="shared" si="70"/>
        <v>0.72998076387942379</v>
      </c>
      <c r="P130">
        <f t="shared" si="71"/>
        <v>0.84337442858279643</v>
      </c>
      <c r="Q130">
        <f t="shared" si="72"/>
        <v>0.88619698563908433</v>
      </c>
      <c r="R130">
        <f t="shared" si="73"/>
        <v>0.90665794683939283</v>
      </c>
      <c r="S130">
        <f t="shared" si="74"/>
        <v>0.83469262148423795</v>
      </c>
      <c r="T130">
        <f t="shared" si="75"/>
        <v>0.89604011195092736</v>
      </c>
      <c r="U130">
        <f t="shared" si="76"/>
        <v>0.81986868775106636</v>
      </c>
      <c r="X130">
        <f t="shared" si="77"/>
        <v>6.7481145103417073E-2</v>
      </c>
      <c r="Y130">
        <f t="shared" si="78"/>
        <v>0.19137691695115921</v>
      </c>
      <c r="Z130">
        <f t="shared" si="79"/>
        <v>7.7983252247786572E-2</v>
      </c>
      <c r="AA130">
        <f t="shared" si="80"/>
        <v>3.516069519149867E-2</v>
      </c>
      <c r="AB130">
        <f t="shared" si="81"/>
        <v>1.4699733991190178E-2</v>
      </c>
      <c r="AC130">
        <f t="shared" si="82"/>
        <v>8.6665059346345052E-2</v>
      </c>
      <c r="AD130">
        <f t="shared" si="83"/>
        <v>2.5317568879655639E-2</v>
      </c>
      <c r="AE130">
        <f t="shared" si="84"/>
        <v>0.10148899307951664</v>
      </c>
      <c r="AI130">
        <f t="shared" si="60"/>
        <v>0.13496229020683403</v>
      </c>
      <c r="AJ130">
        <f t="shared" si="61"/>
        <v>0.38275383390231837</v>
      </c>
      <c r="AK130">
        <f t="shared" si="62"/>
        <v>0.15596650449557292</v>
      </c>
      <c r="AL130">
        <f t="shared" si="63"/>
        <v>7.0321390382997118E-2</v>
      </c>
      <c r="AM130">
        <f t="shared" si="64"/>
        <v>2.9399467982380245E-2</v>
      </c>
      <c r="AN130">
        <f t="shared" si="65"/>
        <v>0.17333011869268999</v>
      </c>
      <c r="AO130">
        <f t="shared" si="66"/>
        <v>5.0635137759311166E-2</v>
      </c>
      <c r="AP130">
        <f t="shared" si="67"/>
        <v>0.20297798615903317</v>
      </c>
    </row>
    <row r="131" spans="1:42" x14ac:dyDescent="0.25">
      <c r="A131">
        <v>3.6900000000000002E-2</v>
      </c>
      <c r="B131">
        <v>0.85197722838636358</v>
      </c>
      <c r="C131">
        <v>0.71496717275338539</v>
      </c>
      <c r="D131">
        <v>0.46113265021337119</v>
      </c>
      <c r="E131">
        <v>0.70164900175044553</v>
      </c>
      <c r="F131">
        <v>0.78044397440893998</v>
      </c>
      <c r="G131">
        <v>0.83211940910956095</v>
      </c>
      <c r="H131">
        <v>0.67475379565038984</v>
      </c>
      <c r="I131">
        <v>0.80278005744768166</v>
      </c>
      <c r="J131">
        <v>0.64685063602790316</v>
      </c>
      <c r="M131">
        <f t="shared" ref="M131:M194" si="118">(B131+1)/2</f>
        <v>0.92598861419318179</v>
      </c>
      <c r="N131">
        <f t="shared" ref="N131:N194" si="119">(C131+1)/2</f>
        <v>0.85748358637669275</v>
      </c>
      <c r="O131">
        <f t="shared" ref="O131:O194" si="120">(D131+1)/2</f>
        <v>0.73056632510668562</v>
      </c>
      <c r="P131">
        <f t="shared" ref="P131:P194" si="121">(E131+1)/2</f>
        <v>0.85082450087522277</v>
      </c>
      <c r="Q131">
        <f t="shared" ref="Q131:Q194" si="122">(F131+1)/2</f>
        <v>0.89022198720446999</v>
      </c>
      <c r="R131">
        <f t="shared" ref="R131:R194" si="123">(G131+1)/2</f>
        <v>0.91605970455478047</v>
      </c>
      <c r="S131">
        <f t="shared" ref="S131:S194" si="124">(H131+1)/2</f>
        <v>0.83737689782519498</v>
      </c>
      <c r="T131">
        <f t="shared" ref="T131:T194" si="125">(I131+1)/2</f>
        <v>0.90139002872384077</v>
      </c>
      <c r="U131">
        <f t="shared" ref="U131:U194" si="126">(J131+1)/2</f>
        <v>0.82342531801395158</v>
      </c>
      <c r="X131">
        <f t="shared" si="77"/>
        <v>6.8505027816489039E-2</v>
      </c>
      <c r="Y131">
        <f t="shared" si="78"/>
        <v>0.19542228908649617</v>
      </c>
      <c r="Z131">
        <f t="shared" si="79"/>
        <v>7.5164113317959025E-2</v>
      </c>
      <c r="AA131">
        <f t="shared" si="80"/>
        <v>3.5766626988711803E-2</v>
      </c>
      <c r="AB131">
        <f t="shared" si="81"/>
        <v>9.9289096384013176E-3</v>
      </c>
      <c r="AC131">
        <f t="shared" si="82"/>
        <v>8.8611716367986815E-2</v>
      </c>
      <c r="AD131">
        <f t="shared" si="83"/>
        <v>2.4598585469341017E-2</v>
      </c>
      <c r="AE131">
        <f t="shared" si="84"/>
        <v>0.10256329617923021</v>
      </c>
      <c r="AI131">
        <f t="shared" si="60"/>
        <v>0.13701005563297819</v>
      </c>
      <c r="AJ131">
        <f t="shared" si="61"/>
        <v>0.3908445781729924</v>
      </c>
      <c r="AK131">
        <f t="shared" si="62"/>
        <v>0.15032822663591805</v>
      </c>
      <c r="AL131">
        <f t="shared" si="63"/>
        <v>7.1533253977423605E-2</v>
      </c>
      <c r="AM131">
        <f t="shared" si="64"/>
        <v>1.9857819276802635E-2</v>
      </c>
      <c r="AN131">
        <f t="shared" si="65"/>
        <v>0.17722343273597374</v>
      </c>
      <c r="AO131">
        <f t="shared" si="66"/>
        <v>4.9197170938681922E-2</v>
      </c>
      <c r="AP131">
        <f t="shared" si="67"/>
        <v>0.20512659235846042</v>
      </c>
    </row>
    <row r="132" spans="1:42" x14ac:dyDescent="0.25">
      <c r="A132">
        <v>3.9899999999999998E-2</v>
      </c>
      <c r="B132">
        <v>0.86411078371790651</v>
      </c>
      <c r="C132">
        <v>0.73387531119458238</v>
      </c>
      <c r="D132">
        <v>0.46569808881246699</v>
      </c>
      <c r="E132">
        <v>0.709758405055263</v>
      </c>
      <c r="F132">
        <v>0.80556388441968385</v>
      </c>
      <c r="G132">
        <v>0.82373759419800052</v>
      </c>
      <c r="H132">
        <v>0.698381761058529</v>
      </c>
      <c r="I132">
        <v>0.82773831227691996</v>
      </c>
      <c r="J132">
        <v>0.65806683272480371</v>
      </c>
      <c r="M132">
        <f t="shared" si="118"/>
        <v>0.93205539185895325</v>
      </c>
      <c r="N132">
        <f t="shared" si="119"/>
        <v>0.86693765559729119</v>
      </c>
      <c r="O132">
        <f t="shared" si="120"/>
        <v>0.73284904440623344</v>
      </c>
      <c r="P132">
        <f t="shared" si="121"/>
        <v>0.8548792025276315</v>
      </c>
      <c r="Q132">
        <f t="shared" si="122"/>
        <v>0.90278194220984198</v>
      </c>
      <c r="R132">
        <f t="shared" si="123"/>
        <v>0.91186879709900026</v>
      </c>
      <c r="S132">
        <f t="shared" si="124"/>
        <v>0.8491908805292645</v>
      </c>
      <c r="T132">
        <f t="shared" si="125"/>
        <v>0.91386915613845998</v>
      </c>
      <c r="U132">
        <f t="shared" si="126"/>
        <v>0.8290334163624018</v>
      </c>
      <c r="X132">
        <f t="shared" ref="X132:X195" si="127">M132-N132</f>
        <v>6.5117736261662063E-2</v>
      </c>
      <c r="Y132">
        <f t="shared" ref="Y132:Y195" si="128">M132-O132</f>
        <v>0.19920634745271981</v>
      </c>
      <c r="Z132">
        <f t="shared" ref="Z132:Z195" si="129">M132-P132</f>
        <v>7.7176189331321754E-2</v>
      </c>
      <c r="AA132">
        <f t="shared" ref="AA132:AA195" si="130">M132-Q132</f>
        <v>2.9273449649111272E-2</v>
      </c>
      <c r="AB132">
        <f t="shared" ref="AB132:AB195" si="131">M132-R132</f>
        <v>2.0186594759952992E-2</v>
      </c>
      <c r="AC132">
        <f t="shared" ref="AC132:AC195" si="132">M132-S132</f>
        <v>8.286451132968875E-2</v>
      </c>
      <c r="AD132">
        <f t="shared" ref="AD132:AD195" si="133">M132-T132</f>
        <v>1.8186235720493271E-2</v>
      </c>
      <c r="AE132">
        <f t="shared" ref="AE132:AE195" si="134">M132-U132</f>
        <v>0.10302197549655145</v>
      </c>
      <c r="AF132">
        <f>COUNT(X123:X132)</f>
        <v>10</v>
      </c>
      <c r="AI132">
        <f t="shared" ref="AI132:AI195" si="135">B132-C132</f>
        <v>0.13023547252332413</v>
      </c>
      <c r="AJ132">
        <f t="shared" ref="AJ132:AJ195" si="136">B132-D132</f>
        <v>0.39841269490543951</v>
      </c>
      <c r="AK132">
        <f t="shared" ref="AK132:AK195" si="137">B132-E132</f>
        <v>0.15435237866264351</v>
      </c>
      <c r="AL132">
        <f t="shared" ref="AL132:AL195" si="138">B132-F132</f>
        <v>5.8546899298222654E-2</v>
      </c>
      <c r="AM132">
        <f t="shared" ref="AM132:AM195" si="139">B132-G132</f>
        <v>4.0373189519905983E-2</v>
      </c>
      <c r="AN132">
        <f t="shared" ref="AN132:AN195" si="140">B132-H132</f>
        <v>0.1657290226593775</v>
      </c>
      <c r="AO132">
        <f t="shared" ref="AO132:AO195" si="141">B132-I132</f>
        <v>3.6372471440986542E-2</v>
      </c>
      <c r="AP132">
        <f t="shared" ref="AP132:AP195" si="142">B132-J132</f>
        <v>0.2060439509931028</v>
      </c>
    </row>
    <row r="133" spans="1:42" s="10" customFormat="1" x14ac:dyDescent="0.25">
      <c r="A133" s="10" t="s">
        <v>77</v>
      </c>
      <c r="M133" s="10">
        <f>AVERAGE(M123:M132)</f>
        <v>0.91604137536024377</v>
      </c>
      <c r="N133" s="10">
        <f t="shared" ref="N133" si="143">AVERAGE(N123:N132)</f>
        <v>0.85361661521329313</v>
      </c>
      <c r="O133" s="10">
        <f t="shared" ref="O133" si="144">AVERAGE(O123:O132)</f>
        <v>0.7295678025790705</v>
      </c>
      <c r="P133" s="10">
        <f t="shared" ref="P133" si="145">AVERAGE(P123:P132)</f>
        <v>0.8414223434765169</v>
      </c>
      <c r="Q133" s="10">
        <f t="shared" ref="Q133" si="146">AVERAGE(Q123:Q132)</f>
        <v>0.888012160395937</v>
      </c>
      <c r="R133" s="10">
        <f t="shared" ref="R133" si="147">AVERAGE(R123:R132)</f>
        <v>0.89042717133013949</v>
      </c>
      <c r="S133" s="10">
        <f t="shared" ref="S133" si="148">AVERAGE(S123:S132)</f>
        <v>0.84074957862065425</v>
      </c>
      <c r="T133" s="10">
        <f t="shared" ref="T133" si="149">AVERAGE(T123:T132)</f>
        <v>0.89580965793472633</v>
      </c>
      <c r="U133" s="10">
        <f t="shared" ref="U133" si="150">AVERAGE(U123:U132)</f>
        <v>0.81886507151305332</v>
      </c>
      <c r="X133" s="10">
        <f>((M133-N133)/N133)*100</f>
        <v>7.3129738848104049</v>
      </c>
      <c r="Y133" s="10">
        <f>((M133-O133)/O133)*100</f>
        <v>25.55945754760241</v>
      </c>
      <c r="Z133" s="10">
        <f>((M133-P133)/P133)*100</f>
        <v>8.8682018563260794</v>
      </c>
      <c r="AA133" s="10">
        <f>((M133-Q133)/Q133)*100</f>
        <v>3.1563999024303242</v>
      </c>
      <c r="AB133" s="10">
        <f>((M133-R133)/R133)*100</f>
        <v>2.8766197679975587</v>
      </c>
      <c r="AC133" s="10">
        <f>((M133-S133)/S133)*100</f>
        <v>8.9553178085577301</v>
      </c>
      <c r="AD133" s="10">
        <f>((M133-T133)/T133)*100</f>
        <v>2.2584839587643328</v>
      </c>
      <c r="AE133" s="10">
        <f>((M133-U133)/U133)*100</f>
        <v>11.867193659589544</v>
      </c>
      <c r="AI133" s="10">
        <f t="shared" si="135"/>
        <v>0</v>
      </c>
      <c r="AJ133" s="10">
        <f t="shared" si="136"/>
        <v>0</v>
      </c>
      <c r="AK133" s="10">
        <f t="shared" si="137"/>
        <v>0</v>
      </c>
      <c r="AL133" s="10">
        <f t="shared" si="138"/>
        <v>0</v>
      </c>
      <c r="AM133" s="10">
        <f t="shared" si="139"/>
        <v>0</v>
      </c>
      <c r="AN133" s="10">
        <f t="shared" si="140"/>
        <v>0</v>
      </c>
      <c r="AO133" s="10">
        <f t="shared" si="141"/>
        <v>0</v>
      </c>
      <c r="AP133" s="10">
        <f t="shared" si="142"/>
        <v>0</v>
      </c>
    </row>
    <row r="134" spans="1:42" x14ac:dyDescent="0.25">
      <c r="A134">
        <v>5.62E-2</v>
      </c>
      <c r="B134">
        <v>0.76169241710924329</v>
      </c>
      <c r="C134">
        <v>0.72135182808211595</v>
      </c>
      <c r="D134">
        <v>0.54819709386560267</v>
      </c>
      <c r="E134">
        <v>0.4010980558300492</v>
      </c>
      <c r="F134">
        <v>0.7712489969444446</v>
      </c>
      <c r="G134">
        <v>0.34735897835951218</v>
      </c>
      <c r="H134">
        <v>0.63883581693747082</v>
      </c>
      <c r="I134">
        <v>0.7710306937287652</v>
      </c>
      <c r="J134">
        <v>0.69537055789424551</v>
      </c>
      <c r="M134">
        <f t="shared" si="118"/>
        <v>0.88084620855462159</v>
      </c>
      <c r="N134">
        <f t="shared" si="119"/>
        <v>0.86067591404105803</v>
      </c>
      <c r="O134">
        <f t="shared" si="120"/>
        <v>0.77409854693280133</v>
      </c>
      <c r="P134">
        <f t="shared" si="121"/>
        <v>0.7005490279150246</v>
      </c>
      <c r="Q134">
        <f t="shared" si="122"/>
        <v>0.88562449847222235</v>
      </c>
      <c r="R134">
        <f t="shared" si="123"/>
        <v>0.67367948917975606</v>
      </c>
      <c r="S134">
        <f t="shared" si="124"/>
        <v>0.81941790846873541</v>
      </c>
      <c r="T134">
        <f t="shared" si="125"/>
        <v>0.8855153468643826</v>
      </c>
      <c r="U134">
        <f t="shared" si="126"/>
        <v>0.84768527894712276</v>
      </c>
      <c r="X134">
        <f t="shared" si="127"/>
        <v>2.0170294513563558E-2</v>
      </c>
      <c r="Y134">
        <f t="shared" si="128"/>
        <v>0.10674766162182026</v>
      </c>
      <c r="Z134">
        <f t="shared" si="129"/>
        <v>0.18029718063959699</v>
      </c>
      <c r="AA134">
        <f t="shared" si="130"/>
        <v>-4.7782899176007643E-3</v>
      </c>
      <c r="AB134">
        <f t="shared" si="131"/>
        <v>0.20716671937486553</v>
      </c>
      <c r="AC134">
        <f t="shared" si="132"/>
        <v>6.1428300085886178E-2</v>
      </c>
      <c r="AD134">
        <f t="shared" si="133"/>
        <v>-4.6691383097610117E-3</v>
      </c>
      <c r="AE134">
        <f t="shared" si="134"/>
        <v>3.3160929607498835E-2</v>
      </c>
      <c r="AI134">
        <f t="shared" si="135"/>
        <v>4.0340589027127338E-2</v>
      </c>
      <c r="AJ134">
        <f t="shared" si="136"/>
        <v>0.21349532324364062</v>
      </c>
      <c r="AK134">
        <f t="shared" si="137"/>
        <v>0.36059436127919409</v>
      </c>
      <c r="AL134">
        <f t="shared" si="138"/>
        <v>-9.5565798352013065E-3</v>
      </c>
      <c r="AM134">
        <f t="shared" si="139"/>
        <v>0.41433343874973111</v>
      </c>
      <c r="AN134">
        <f t="shared" si="140"/>
        <v>0.12285660017177247</v>
      </c>
      <c r="AO134">
        <f t="shared" si="141"/>
        <v>-9.3382766195219125E-3</v>
      </c>
      <c r="AP134">
        <f t="shared" si="142"/>
        <v>6.632185921499778E-2</v>
      </c>
    </row>
    <row r="135" spans="1:42" x14ac:dyDescent="0.25">
      <c r="A135">
        <v>6.8599999999999994E-2</v>
      </c>
      <c r="B135">
        <v>0.78160193840223713</v>
      </c>
      <c r="C135">
        <v>0.71347126606040057</v>
      </c>
      <c r="D135">
        <v>0.5246364830589193</v>
      </c>
      <c r="E135">
        <v>0.42256098346540211</v>
      </c>
      <c r="F135">
        <v>0.74473761848515563</v>
      </c>
      <c r="G135">
        <v>0.37616929468946447</v>
      </c>
      <c r="H135">
        <v>0.60381669250001235</v>
      </c>
      <c r="I135">
        <v>0.77073104069228726</v>
      </c>
      <c r="J135">
        <v>0.6784852584908474</v>
      </c>
      <c r="M135">
        <f t="shared" si="118"/>
        <v>0.89080096920111851</v>
      </c>
      <c r="N135">
        <f t="shared" si="119"/>
        <v>0.85673563303020028</v>
      </c>
      <c r="O135">
        <f t="shared" si="120"/>
        <v>0.76231824152945959</v>
      </c>
      <c r="P135">
        <f t="shared" si="121"/>
        <v>0.71128049173270103</v>
      </c>
      <c r="Q135">
        <f t="shared" si="122"/>
        <v>0.87236880924257787</v>
      </c>
      <c r="R135">
        <f t="shared" si="123"/>
        <v>0.68808464734473218</v>
      </c>
      <c r="S135">
        <f t="shared" si="124"/>
        <v>0.80190834625000618</v>
      </c>
      <c r="T135">
        <f t="shared" si="125"/>
        <v>0.88536552034614369</v>
      </c>
      <c r="U135">
        <f t="shared" si="126"/>
        <v>0.8392426292454237</v>
      </c>
      <c r="X135">
        <f t="shared" si="127"/>
        <v>3.4065336170918226E-2</v>
      </c>
      <c r="Y135">
        <f t="shared" si="128"/>
        <v>0.12848272767165891</v>
      </c>
      <c r="Z135">
        <f t="shared" si="129"/>
        <v>0.17952047746841748</v>
      </c>
      <c r="AA135">
        <f t="shared" si="130"/>
        <v>1.8432159958540639E-2</v>
      </c>
      <c r="AB135">
        <f t="shared" si="131"/>
        <v>0.20271632185638633</v>
      </c>
      <c r="AC135">
        <f t="shared" si="132"/>
        <v>8.8892622951112332E-2</v>
      </c>
      <c r="AD135">
        <f t="shared" si="133"/>
        <v>5.4354488549748226E-3</v>
      </c>
      <c r="AE135">
        <f t="shared" si="134"/>
        <v>5.155833995569481E-2</v>
      </c>
      <c r="AI135">
        <f t="shared" si="135"/>
        <v>6.8130672341836562E-2</v>
      </c>
      <c r="AJ135">
        <f t="shared" si="136"/>
        <v>0.25696545534331783</v>
      </c>
      <c r="AK135">
        <f t="shared" si="137"/>
        <v>0.35904095493683502</v>
      </c>
      <c r="AL135">
        <f t="shared" si="138"/>
        <v>3.6864319917081501E-2</v>
      </c>
      <c r="AM135">
        <f t="shared" si="139"/>
        <v>0.40543264371277266</v>
      </c>
      <c r="AN135">
        <f t="shared" si="140"/>
        <v>0.17778524590222478</v>
      </c>
      <c r="AO135">
        <f t="shared" si="141"/>
        <v>1.0870897709949867E-2</v>
      </c>
      <c r="AP135">
        <f t="shared" si="142"/>
        <v>0.10311667991138973</v>
      </c>
    </row>
    <row r="136" spans="1:42" x14ac:dyDescent="0.25">
      <c r="A136">
        <v>8.1100000000000005E-2</v>
      </c>
      <c r="B136">
        <v>0.79042467642485281</v>
      </c>
      <c r="C136">
        <v>0.6908469756858554</v>
      </c>
      <c r="D136">
        <v>0.49777033883127858</v>
      </c>
      <c r="E136">
        <v>0.42798240093077278</v>
      </c>
      <c r="F136">
        <v>0.71205986146607125</v>
      </c>
      <c r="G136">
        <v>0.391117920497494</v>
      </c>
      <c r="H136">
        <v>0.56650546678995906</v>
      </c>
      <c r="I136">
        <v>0.7535229088831038</v>
      </c>
      <c r="J136">
        <v>0.65050459012169926</v>
      </c>
      <c r="M136">
        <f t="shared" si="118"/>
        <v>0.89521233821242641</v>
      </c>
      <c r="N136">
        <f t="shared" si="119"/>
        <v>0.84542348784292765</v>
      </c>
      <c r="O136">
        <f t="shared" si="120"/>
        <v>0.74888516941563932</v>
      </c>
      <c r="P136">
        <f t="shared" si="121"/>
        <v>0.71399120046538633</v>
      </c>
      <c r="Q136">
        <f t="shared" si="122"/>
        <v>0.85602993073303568</v>
      </c>
      <c r="R136">
        <f t="shared" si="123"/>
        <v>0.69555896024874697</v>
      </c>
      <c r="S136">
        <f t="shared" si="124"/>
        <v>0.78325273339497947</v>
      </c>
      <c r="T136">
        <f t="shared" si="125"/>
        <v>0.87676145444155185</v>
      </c>
      <c r="U136">
        <f t="shared" si="126"/>
        <v>0.82525229506084963</v>
      </c>
      <c r="X136">
        <f t="shared" si="127"/>
        <v>4.9788850369498761E-2</v>
      </c>
      <c r="Y136">
        <f t="shared" si="128"/>
        <v>0.14632716879678709</v>
      </c>
      <c r="Z136">
        <f t="shared" si="129"/>
        <v>0.18122113774704007</v>
      </c>
      <c r="AA136">
        <f t="shared" si="130"/>
        <v>3.9182407479390724E-2</v>
      </c>
      <c r="AB136">
        <f t="shared" si="131"/>
        <v>0.19965337796367943</v>
      </c>
      <c r="AC136">
        <f t="shared" si="132"/>
        <v>0.11195960481744693</v>
      </c>
      <c r="AD136">
        <f t="shared" si="133"/>
        <v>1.845088377087456E-2</v>
      </c>
      <c r="AE136">
        <f t="shared" si="134"/>
        <v>6.9960043151576778E-2</v>
      </c>
      <c r="AI136">
        <f t="shared" si="135"/>
        <v>9.957770073899741E-2</v>
      </c>
      <c r="AJ136">
        <f t="shared" si="136"/>
        <v>0.29265433759357423</v>
      </c>
      <c r="AK136">
        <f t="shared" si="137"/>
        <v>0.36244227549408004</v>
      </c>
      <c r="AL136">
        <f t="shared" si="138"/>
        <v>7.8364814958781559E-2</v>
      </c>
      <c r="AM136">
        <f t="shared" si="139"/>
        <v>0.39930675592735881</v>
      </c>
      <c r="AN136">
        <f t="shared" si="140"/>
        <v>0.22391920963489376</v>
      </c>
      <c r="AO136">
        <f t="shared" si="141"/>
        <v>3.6901767541749009E-2</v>
      </c>
      <c r="AP136">
        <f t="shared" si="142"/>
        <v>0.13992008630315356</v>
      </c>
    </row>
    <row r="137" spans="1:42" x14ac:dyDescent="0.25">
      <c r="A137">
        <v>9.3600000000000003E-2</v>
      </c>
      <c r="B137">
        <v>0.79510134111657949</v>
      </c>
      <c r="C137">
        <v>0.66797069633312278</v>
      </c>
      <c r="D137">
        <v>0.47114907925835819</v>
      </c>
      <c r="E137">
        <v>0.43855770550289869</v>
      </c>
      <c r="F137">
        <v>0.68110455807809489</v>
      </c>
      <c r="G137">
        <v>0.4128761465154368</v>
      </c>
      <c r="H137">
        <v>0.53169518683002837</v>
      </c>
      <c r="I137">
        <v>0.7360394865154718</v>
      </c>
      <c r="J137">
        <v>0.6242821372677505</v>
      </c>
      <c r="M137">
        <f t="shared" si="118"/>
        <v>0.89755067055828974</v>
      </c>
      <c r="N137">
        <f t="shared" si="119"/>
        <v>0.83398534816656134</v>
      </c>
      <c r="O137">
        <f t="shared" si="120"/>
        <v>0.73557453962917907</v>
      </c>
      <c r="P137">
        <f t="shared" si="121"/>
        <v>0.71927885275144932</v>
      </c>
      <c r="Q137">
        <f t="shared" si="122"/>
        <v>0.84055227903904739</v>
      </c>
      <c r="R137">
        <f t="shared" si="123"/>
        <v>0.70643807325771846</v>
      </c>
      <c r="S137">
        <f t="shared" si="124"/>
        <v>0.76584759341501418</v>
      </c>
      <c r="T137">
        <f t="shared" si="125"/>
        <v>0.8680197432577359</v>
      </c>
      <c r="U137">
        <f t="shared" si="126"/>
        <v>0.81214106863387525</v>
      </c>
      <c r="X137">
        <f t="shared" si="127"/>
        <v>6.3565322391728407E-2</v>
      </c>
      <c r="Y137">
        <f t="shared" si="128"/>
        <v>0.16197613092911067</v>
      </c>
      <c r="Z137">
        <f t="shared" si="129"/>
        <v>0.17827181780684043</v>
      </c>
      <c r="AA137">
        <f t="shared" si="130"/>
        <v>5.6998391519242353E-2</v>
      </c>
      <c r="AB137">
        <f t="shared" si="131"/>
        <v>0.19111259730057129</v>
      </c>
      <c r="AC137">
        <f t="shared" si="132"/>
        <v>0.13170307714327556</v>
      </c>
      <c r="AD137">
        <f t="shared" si="133"/>
        <v>2.9530927300553844E-2</v>
      </c>
      <c r="AE137">
        <f t="shared" si="134"/>
        <v>8.5409601924414491E-2</v>
      </c>
      <c r="AI137">
        <f t="shared" si="135"/>
        <v>0.1271306447834567</v>
      </c>
      <c r="AJ137">
        <f t="shared" si="136"/>
        <v>0.32395226185822129</v>
      </c>
      <c r="AK137">
        <f t="shared" si="137"/>
        <v>0.3565436356136808</v>
      </c>
      <c r="AL137">
        <f t="shared" si="138"/>
        <v>0.11399678303848459</v>
      </c>
      <c r="AM137">
        <f t="shared" si="139"/>
        <v>0.38222519460114268</v>
      </c>
      <c r="AN137">
        <f t="shared" si="140"/>
        <v>0.26340615428655112</v>
      </c>
      <c r="AO137">
        <f t="shared" si="141"/>
        <v>5.9061854601107688E-2</v>
      </c>
      <c r="AP137">
        <f t="shared" si="142"/>
        <v>0.17081920384882898</v>
      </c>
    </row>
    <row r="138" spans="1:42" x14ac:dyDescent="0.25">
      <c r="A138">
        <v>0.1061</v>
      </c>
      <c r="B138">
        <v>0.80089119620545823</v>
      </c>
      <c r="C138">
        <v>0.65545285394204544</v>
      </c>
      <c r="D138">
        <v>0.45597978113490151</v>
      </c>
      <c r="E138">
        <v>0.45870977002726621</v>
      </c>
      <c r="F138">
        <v>0.65656784433240867</v>
      </c>
      <c r="G138">
        <v>0.43980769307009909</v>
      </c>
      <c r="H138">
        <v>0.50746701531527283</v>
      </c>
      <c r="I138">
        <v>0.72261454838613359</v>
      </c>
      <c r="J138">
        <v>0.60806170448470209</v>
      </c>
      <c r="M138">
        <f t="shared" si="118"/>
        <v>0.90044559810272906</v>
      </c>
      <c r="N138">
        <f t="shared" si="119"/>
        <v>0.82772642697102272</v>
      </c>
      <c r="O138">
        <f t="shared" si="120"/>
        <v>0.72798989056745078</v>
      </c>
      <c r="P138">
        <f t="shared" si="121"/>
        <v>0.7293548850136331</v>
      </c>
      <c r="Q138">
        <f t="shared" si="122"/>
        <v>0.82828392216620439</v>
      </c>
      <c r="R138">
        <f t="shared" si="123"/>
        <v>0.71990384653504957</v>
      </c>
      <c r="S138">
        <f t="shared" si="124"/>
        <v>0.75373350765763636</v>
      </c>
      <c r="T138">
        <f t="shared" si="125"/>
        <v>0.86130727419306674</v>
      </c>
      <c r="U138">
        <f t="shared" si="126"/>
        <v>0.80403085224235105</v>
      </c>
      <c r="X138">
        <f t="shared" si="127"/>
        <v>7.2719171131706339E-2</v>
      </c>
      <c r="Y138">
        <f t="shared" si="128"/>
        <v>0.17245570753527828</v>
      </c>
      <c r="Z138">
        <f t="shared" si="129"/>
        <v>0.17109071308909596</v>
      </c>
      <c r="AA138">
        <f t="shared" si="130"/>
        <v>7.2161675936524672E-2</v>
      </c>
      <c r="AB138">
        <f t="shared" si="131"/>
        <v>0.18054175156767949</v>
      </c>
      <c r="AC138">
        <f t="shared" si="132"/>
        <v>0.1467120904450927</v>
      </c>
      <c r="AD138">
        <f t="shared" si="133"/>
        <v>3.913832390966232E-2</v>
      </c>
      <c r="AE138">
        <f t="shared" si="134"/>
        <v>9.6414745860378015E-2</v>
      </c>
      <c r="AI138">
        <f t="shared" si="135"/>
        <v>0.14543834226341279</v>
      </c>
      <c r="AJ138">
        <f t="shared" si="136"/>
        <v>0.34491141507055673</v>
      </c>
      <c r="AK138">
        <f t="shared" si="137"/>
        <v>0.34218142617819203</v>
      </c>
      <c r="AL138">
        <f t="shared" si="138"/>
        <v>0.14432335187304957</v>
      </c>
      <c r="AM138">
        <f t="shared" si="139"/>
        <v>0.36108350313535914</v>
      </c>
      <c r="AN138">
        <f t="shared" si="140"/>
        <v>0.2934241808901854</v>
      </c>
      <c r="AO138">
        <f t="shared" si="141"/>
        <v>7.8276647819324641E-2</v>
      </c>
      <c r="AP138">
        <f t="shared" si="142"/>
        <v>0.19282949172075614</v>
      </c>
    </row>
    <row r="139" spans="1:42" x14ac:dyDescent="0.25">
      <c r="A139">
        <v>0.1186</v>
      </c>
      <c r="B139">
        <v>0.7851800236372557</v>
      </c>
      <c r="C139">
        <v>0.63628713876580323</v>
      </c>
      <c r="D139">
        <v>0.43790970969911369</v>
      </c>
      <c r="E139">
        <v>0.48422897526564151</v>
      </c>
      <c r="F139">
        <v>0.62437912788503391</v>
      </c>
      <c r="G139">
        <v>0.47170889101080249</v>
      </c>
      <c r="H139">
        <v>0.47542034310355819</v>
      </c>
      <c r="I139">
        <v>0.70552120642601757</v>
      </c>
      <c r="J139">
        <v>0.58660953020476547</v>
      </c>
      <c r="M139">
        <f t="shared" si="118"/>
        <v>0.89259001181862785</v>
      </c>
      <c r="N139">
        <f t="shared" si="119"/>
        <v>0.81814356938290156</v>
      </c>
      <c r="O139">
        <f t="shared" si="120"/>
        <v>0.71895485484955679</v>
      </c>
      <c r="P139">
        <f t="shared" si="121"/>
        <v>0.74211448763282073</v>
      </c>
      <c r="Q139">
        <f t="shared" si="122"/>
        <v>0.81218956394251696</v>
      </c>
      <c r="R139">
        <f t="shared" si="123"/>
        <v>0.73585444550540124</v>
      </c>
      <c r="S139">
        <f t="shared" si="124"/>
        <v>0.73771017155177909</v>
      </c>
      <c r="T139">
        <f t="shared" si="125"/>
        <v>0.85276060321300884</v>
      </c>
      <c r="U139">
        <f t="shared" si="126"/>
        <v>0.79330476510238279</v>
      </c>
      <c r="X139">
        <f t="shared" si="127"/>
        <v>7.444644243572629E-2</v>
      </c>
      <c r="Y139">
        <f t="shared" si="128"/>
        <v>0.17363515696907106</v>
      </c>
      <c r="Z139">
        <f t="shared" si="129"/>
        <v>0.15047552418580712</v>
      </c>
      <c r="AA139">
        <f t="shared" si="130"/>
        <v>8.0400447876110892E-2</v>
      </c>
      <c r="AB139">
        <f t="shared" si="131"/>
        <v>0.1567355663132266</v>
      </c>
      <c r="AC139">
        <f t="shared" si="132"/>
        <v>0.15487984026684876</v>
      </c>
      <c r="AD139">
        <f t="shared" si="133"/>
        <v>3.982940860561901E-2</v>
      </c>
      <c r="AE139">
        <f t="shared" si="134"/>
        <v>9.9285246716245057E-2</v>
      </c>
      <c r="AI139">
        <f t="shared" si="135"/>
        <v>0.14889288487145247</v>
      </c>
      <c r="AJ139">
        <f t="shared" si="136"/>
        <v>0.34727031393814201</v>
      </c>
      <c r="AK139">
        <f t="shared" si="137"/>
        <v>0.30095104837161418</v>
      </c>
      <c r="AL139">
        <f t="shared" si="138"/>
        <v>0.16080089575222178</v>
      </c>
      <c r="AM139">
        <f t="shared" si="139"/>
        <v>0.31347113262645321</v>
      </c>
      <c r="AN139">
        <f t="shared" si="140"/>
        <v>0.30975968053369751</v>
      </c>
      <c r="AO139">
        <f t="shared" si="141"/>
        <v>7.9658817211238131E-2</v>
      </c>
      <c r="AP139">
        <f t="shared" si="142"/>
        <v>0.19857049343249022</v>
      </c>
    </row>
    <row r="140" spans="1:42" x14ac:dyDescent="0.25">
      <c r="A140">
        <v>0.13100000000000001</v>
      </c>
      <c r="B140">
        <v>0.75877292022771792</v>
      </c>
      <c r="C140">
        <v>0.62624931224569735</v>
      </c>
      <c r="D140">
        <v>0.41823734384534539</v>
      </c>
      <c r="E140">
        <v>0.50259832782471558</v>
      </c>
      <c r="F140">
        <v>0.6025806715022024</v>
      </c>
      <c r="G140">
        <v>0.49622657741852888</v>
      </c>
      <c r="H140">
        <v>0.45306520473912809</v>
      </c>
      <c r="I140">
        <v>0.69227323028455057</v>
      </c>
      <c r="J140">
        <v>0.56996068016361512</v>
      </c>
      <c r="M140">
        <f t="shared" si="118"/>
        <v>0.87938646011385901</v>
      </c>
      <c r="N140">
        <f t="shared" si="119"/>
        <v>0.81312465612284868</v>
      </c>
      <c r="O140">
        <f t="shared" si="120"/>
        <v>0.70911867192267275</v>
      </c>
      <c r="P140">
        <f t="shared" si="121"/>
        <v>0.75129916391235785</v>
      </c>
      <c r="Q140">
        <f t="shared" si="122"/>
        <v>0.8012903357511012</v>
      </c>
      <c r="R140">
        <f t="shared" si="123"/>
        <v>0.74811328870926441</v>
      </c>
      <c r="S140">
        <f t="shared" si="124"/>
        <v>0.72653260236956407</v>
      </c>
      <c r="T140">
        <f t="shared" si="125"/>
        <v>0.84613661514227534</v>
      </c>
      <c r="U140">
        <f t="shared" si="126"/>
        <v>0.78498034008180761</v>
      </c>
      <c r="X140">
        <f t="shared" si="127"/>
        <v>6.6261803991010337E-2</v>
      </c>
      <c r="Y140">
        <f t="shared" si="128"/>
        <v>0.17026778819118626</v>
      </c>
      <c r="Z140">
        <f t="shared" si="129"/>
        <v>0.12808729620150117</v>
      </c>
      <c r="AA140">
        <f t="shared" si="130"/>
        <v>7.8096124362757813E-2</v>
      </c>
      <c r="AB140">
        <f t="shared" si="131"/>
        <v>0.1312731714045946</v>
      </c>
      <c r="AC140">
        <f t="shared" si="132"/>
        <v>0.15285385774429494</v>
      </c>
      <c r="AD140">
        <f t="shared" si="133"/>
        <v>3.3249844971583675E-2</v>
      </c>
      <c r="AE140">
        <f t="shared" si="134"/>
        <v>9.4406120032051399E-2</v>
      </c>
      <c r="AI140">
        <f t="shared" si="135"/>
        <v>0.13252360798202056</v>
      </c>
      <c r="AJ140">
        <f t="shared" si="136"/>
        <v>0.34053557638237253</v>
      </c>
      <c r="AK140">
        <f t="shared" si="137"/>
        <v>0.25617459240300233</v>
      </c>
      <c r="AL140">
        <f t="shared" si="138"/>
        <v>0.15619224872551551</v>
      </c>
      <c r="AM140">
        <f t="shared" si="139"/>
        <v>0.26254634280918904</v>
      </c>
      <c r="AN140">
        <f t="shared" si="140"/>
        <v>0.30570771548858983</v>
      </c>
      <c r="AO140">
        <f t="shared" si="141"/>
        <v>6.649968994316735E-2</v>
      </c>
      <c r="AP140">
        <f t="shared" si="142"/>
        <v>0.1888122400641028</v>
      </c>
    </row>
    <row r="141" spans="1:42" x14ac:dyDescent="0.25">
      <c r="A141">
        <v>0.14349999999999999</v>
      </c>
      <c r="B141">
        <v>0.74216678921415524</v>
      </c>
      <c r="C141">
        <v>0.62656879820086542</v>
      </c>
      <c r="D141">
        <v>0.4114115936636068</v>
      </c>
      <c r="E141">
        <v>0.53375169195676653</v>
      </c>
      <c r="F141">
        <v>0.58960037318952352</v>
      </c>
      <c r="G141">
        <v>0.53177278030249397</v>
      </c>
      <c r="H141">
        <v>0.44188306412659212</v>
      </c>
      <c r="I141">
        <v>0.68773114098004762</v>
      </c>
      <c r="J141">
        <v>0.56581149765208372</v>
      </c>
      <c r="M141">
        <f t="shared" si="118"/>
        <v>0.87108339460707762</v>
      </c>
      <c r="N141">
        <f t="shared" si="119"/>
        <v>0.81328439910043271</v>
      </c>
      <c r="O141">
        <f t="shared" si="120"/>
        <v>0.70570579683180346</v>
      </c>
      <c r="P141">
        <f t="shared" si="121"/>
        <v>0.76687584597838332</v>
      </c>
      <c r="Q141">
        <f t="shared" si="122"/>
        <v>0.79480018659476181</v>
      </c>
      <c r="R141">
        <f t="shared" si="123"/>
        <v>0.76588639015124693</v>
      </c>
      <c r="S141">
        <f t="shared" si="124"/>
        <v>0.72094153206329603</v>
      </c>
      <c r="T141">
        <f t="shared" si="125"/>
        <v>0.84386557049002375</v>
      </c>
      <c r="U141">
        <f t="shared" si="126"/>
        <v>0.7829057488260418</v>
      </c>
      <c r="X141">
        <f t="shared" si="127"/>
        <v>5.7798995506644912E-2</v>
      </c>
      <c r="Y141">
        <f t="shared" si="128"/>
        <v>0.16537759777527417</v>
      </c>
      <c r="Z141">
        <f t="shared" si="129"/>
        <v>0.1042075486286943</v>
      </c>
      <c r="AA141">
        <f t="shared" si="130"/>
        <v>7.6283208012315806E-2</v>
      </c>
      <c r="AB141">
        <f t="shared" si="131"/>
        <v>0.10519700445583069</v>
      </c>
      <c r="AC141">
        <f t="shared" si="132"/>
        <v>0.15014186254378159</v>
      </c>
      <c r="AD141">
        <f t="shared" si="133"/>
        <v>2.7217824117053868E-2</v>
      </c>
      <c r="AE141">
        <f t="shared" si="134"/>
        <v>8.8177645781035818E-2</v>
      </c>
      <c r="AI141">
        <f t="shared" si="135"/>
        <v>0.11559799101328982</v>
      </c>
      <c r="AJ141">
        <f t="shared" si="136"/>
        <v>0.33075519555054844</v>
      </c>
      <c r="AK141">
        <f t="shared" si="137"/>
        <v>0.20841509725738872</v>
      </c>
      <c r="AL141">
        <f t="shared" si="138"/>
        <v>0.15256641602463172</v>
      </c>
      <c r="AM141">
        <f t="shared" si="139"/>
        <v>0.21039400891166127</v>
      </c>
      <c r="AN141">
        <f t="shared" si="140"/>
        <v>0.30028372508756312</v>
      </c>
      <c r="AO141">
        <f t="shared" si="141"/>
        <v>5.4435648234107625E-2</v>
      </c>
      <c r="AP141">
        <f t="shared" si="142"/>
        <v>0.17635529156207153</v>
      </c>
    </row>
    <row r="142" spans="1:42" x14ac:dyDescent="0.25">
      <c r="A142">
        <v>0.156</v>
      </c>
      <c r="B142">
        <v>0.73548157956421845</v>
      </c>
      <c r="C142">
        <v>0.63264481095444358</v>
      </c>
      <c r="D142">
        <v>0.4134349056621659</v>
      </c>
      <c r="E142">
        <v>0.555588639912035</v>
      </c>
      <c r="F142">
        <v>0.58728513431303964</v>
      </c>
      <c r="G142">
        <v>0.55284007473345731</v>
      </c>
      <c r="H142">
        <v>0.440170072334996</v>
      </c>
      <c r="I142">
        <v>0.68978735592579998</v>
      </c>
      <c r="J142">
        <v>0.57026734812011726</v>
      </c>
      <c r="M142">
        <f t="shared" si="118"/>
        <v>0.86774078978210922</v>
      </c>
      <c r="N142">
        <f t="shared" si="119"/>
        <v>0.81632240547722179</v>
      </c>
      <c r="O142">
        <f t="shared" si="120"/>
        <v>0.70671745283108289</v>
      </c>
      <c r="P142">
        <f t="shared" si="121"/>
        <v>0.77779431995601755</v>
      </c>
      <c r="Q142">
        <f t="shared" si="122"/>
        <v>0.79364256715651982</v>
      </c>
      <c r="R142">
        <f t="shared" si="123"/>
        <v>0.77642003736672871</v>
      </c>
      <c r="S142">
        <f t="shared" si="124"/>
        <v>0.72008503616749797</v>
      </c>
      <c r="T142">
        <f t="shared" si="125"/>
        <v>0.84489367796289994</v>
      </c>
      <c r="U142">
        <f t="shared" si="126"/>
        <v>0.78513367406005863</v>
      </c>
      <c r="X142">
        <f t="shared" si="127"/>
        <v>5.1418384304887432E-2</v>
      </c>
      <c r="Y142">
        <f t="shared" si="128"/>
        <v>0.16102333695102633</v>
      </c>
      <c r="Z142">
        <f t="shared" si="129"/>
        <v>8.9946469826091668E-2</v>
      </c>
      <c r="AA142">
        <f t="shared" si="130"/>
        <v>7.4098222625589405E-2</v>
      </c>
      <c r="AB142">
        <f t="shared" si="131"/>
        <v>9.1320752415380513E-2</v>
      </c>
      <c r="AC142">
        <f t="shared" si="132"/>
        <v>0.14765575361461125</v>
      </c>
      <c r="AD142">
        <f t="shared" si="133"/>
        <v>2.2847111819209287E-2</v>
      </c>
      <c r="AE142">
        <f t="shared" si="134"/>
        <v>8.2607115722050595E-2</v>
      </c>
      <c r="AI142">
        <f t="shared" si="135"/>
        <v>0.10283676860977486</v>
      </c>
      <c r="AJ142">
        <f t="shared" si="136"/>
        <v>0.32204667390205255</v>
      </c>
      <c r="AK142">
        <f t="shared" si="137"/>
        <v>0.17989293965218345</v>
      </c>
      <c r="AL142">
        <f t="shared" si="138"/>
        <v>0.14819644525117881</v>
      </c>
      <c r="AM142">
        <f t="shared" si="139"/>
        <v>0.18264150483076114</v>
      </c>
      <c r="AN142">
        <f t="shared" si="140"/>
        <v>0.29531150722922245</v>
      </c>
      <c r="AO142">
        <f t="shared" si="141"/>
        <v>4.5694223638418463E-2</v>
      </c>
      <c r="AP142">
        <f t="shared" si="142"/>
        <v>0.16521423144410119</v>
      </c>
    </row>
    <row r="143" spans="1:42" x14ac:dyDescent="0.25">
      <c r="A143">
        <v>0.16850000000000001</v>
      </c>
      <c r="B143">
        <v>0.72343539161217107</v>
      </c>
      <c r="C143">
        <v>0.63099853488408708</v>
      </c>
      <c r="D143">
        <v>0.41021237411211908</v>
      </c>
      <c r="E143">
        <v>0.57429010808673453</v>
      </c>
      <c r="F143">
        <v>0.58354709106259184</v>
      </c>
      <c r="G143">
        <v>0.57014427944758594</v>
      </c>
      <c r="H143">
        <v>0.43726364439826909</v>
      </c>
      <c r="I143">
        <v>0.68692440006288435</v>
      </c>
      <c r="J143">
        <v>0.56976414621981941</v>
      </c>
      <c r="M143">
        <f t="shared" si="118"/>
        <v>0.86171769580608548</v>
      </c>
      <c r="N143">
        <f t="shared" si="119"/>
        <v>0.8154992674420436</v>
      </c>
      <c r="O143">
        <f t="shared" si="120"/>
        <v>0.70510618705605954</v>
      </c>
      <c r="P143">
        <f t="shared" si="121"/>
        <v>0.78714505404336732</v>
      </c>
      <c r="Q143">
        <f t="shared" si="122"/>
        <v>0.79177354553129597</v>
      </c>
      <c r="R143">
        <f t="shared" si="123"/>
        <v>0.78507213972379297</v>
      </c>
      <c r="S143">
        <f t="shared" si="124"/>
        <v>0.71863182219913457</v>
      </c>
      <c r="T143">
        <f t="shared" si="125"/>
        <v>0.84346220003144223</v>
      </c>
      <c r="U143">
        <f t="shared" si="126"/>
        <v>0.78488207310990976</v>
      </c>
      <c r="X143">
        <f t="shared" si="127"/>
        <v>4.6218428364041886E-2</v>
      </c>
      <c r="Y143">
        <f t="shared" si="128"/>
        <v>0.15661150875002594</v>
      </c>
      <c r="Z143">
        <f t="shared" si="129"/>
        <v>7.4572641762718161E-2</v>
      </c>
      <c r="AA143">
        <f t="shared" si="130"/>
        <v>6.9944150274789507E-2</v>
      </c>
      <c r="AB143">
        <f t="shared" si="131"/>
        <v>7.664555608229251E-2</v>
      </c>
      <c r="AC143">
        <f t="shared" si="132"/>
        <v>0.14308587360695091</v>
      </c>
      <c r="AD143">
        <f t="shared" si="133"/>
        <v>1.8255495774643249E-2</v>
      </c>
      <c r="AE143">
        <f t="shared" si="134"/>
        <v>7.683562269617572E-2</v>
      </c>
      <c r="AF143">
        <f>COUNT(X134:X143)</f>
        <v>10</v>
      </c>
      <c r="AI143">
        <f t="shared" si="135"/>
        <v>9.2436856728083994E-2</v>
      </c>
      <c r="AJ143">
        <f t="shared" si="136"/>
        <v>0.31322301750005199</v>
      </c>
      <c r="AK143">
        <f t="shared" si="137"/>
        <v>0.14914528352543654</v>
      </c>
      <c r="AL143">
        <f t="shared" si="138"/>
        <v>0.13988830054957924</v>
      </c>
      <c r="AM143">
        <f t="shared" si="139"/>
        <v>0.15329111216458513</v>
      </c>
      <c r="AN143">
        <f t="shared" si="140"/>
        <v>0.28617174721390198</v>
      </c>
      <c r="AO143">
        <f t="shared" si="141"/>
        <v>3.651099154928672E-2</v>
      </c>
      <c r="AP143">
        <f t="shared" si="142"/>
        <v>0.15367124539235166</v>
      </c>
    </row>
    <row r="144" spans="1:42" s="10" customFormat="1" x14ac:dyDescent="0.25">
      <c r="A144" s="10" t="s">
        <v>78</v>
      </c>
      <c r="M144" s="10">
        <f>AVERAGE(M134:M143)</f>
        <v>0.88373741367569436</v>
      </c>
      <c r="N144" s="10">
        <f t="shared" ref="N144" si="151">AVERAGE(N134:N143)</f>
        <v>0.83009211075772193</v>
      </c>
      <c r="O144" s="10">
        <f t="shared" ref="O144" si="152">AVERAGE(O134:O143)</f>
        <v>0.72944693515657044</v>
      </c>
      <c r="P144" s="10">
        <f t="shared" ref="P144" si="153">AVERAGE(P134:P143)</f>
        <v>0.7399683329401141</v>
      </c>
      <c r="Q144" s="10">
        <f t="shared" ref="Q144" si="154">AVERAGE(Q134:Q143)</f>
        <v>0.82765556386292849</v>
      </c>
      <c r="R144" s="10">
        <f t="shared" ref="R144" si="155">AVERAGE(R134:R143)</f>
        <v>0.72950113180224374</v>
      </c>
      <c r="S144" s="10">
        <f t="shared" ref="S144" si="156">AVERAGE(S134:S143)</f>
        <v>0.75480612535376435</v>
      </c>
      <c r="T144" s="10">
        <f t="shared" ref="T144" si="157">AVERAGE(T134:T143)</f>
        <v>0.86080880059425302</v>
      </c>
      <c r="U144" s="10">
        <f t="shared" ref="U144" si="158">AVERAGE(U134:U143)</f>
        <v>0.80595587253098233</v>
      </c>
      <c r="X144" s="10">
        <f>((M144-N144)/N144)*100</f>
        <v>6.4625723124875982</v>
      </c>
      <c r="Y144" s="10">
        <f>((M144-O144)/O144)*100</f>
        <v>21.151707010189384</v>
      </c>
      <c r="Z144" s="10">
        <f>((M144-P144)/P144)*100</f>
        <v>19.429085588614715</v>
      </c>
      <c r="AA144" s="10">
        <f>((M144-Q144)/Q144)*100</f>
        <v>6.7759889815775853</v>
      </c>
      <c r="AB144" s="10">
        <f>((M144-R144)/R144)*100</f>
        <v>21.142706316631411</v>
      </c>
      <c r="AC144" s="10">
        <f>((M144-S144)/S144)*100</f>
        <v>17.081378116996891</v>
      </c>
      <c r="AD144" s="10">
        <f>((M144-T144)/T144)*100</f>
        <v>2.6636127634397719</v>
      </c>
      <c r="AE144" s="10">
        <f>((M144-U144)/U144)*100</f>
        <v>9.6508436498453545</v>
      </c>
      <c r="AI144" s="10">
        <f t="shared" si="135"/>
        <v>0</v>
      </c>
      <c r="AJ144" s="10">
        <f t="shared" si="136"/>
        <v>0</v>
      </c>
      <c r="AK144" s="10">
        <f t="shared" si="137"/>
        <v>0</v>
      </c>
      <c r="AL144" s="10">
        <f t="shared" si="138"/>
        <v>0</v>
      </c>
      <c r="AM144" s="10">
        <f t="shared" si="139"/>
        <v>0</v>
      </c>
      <c r="AN144" s="10">
        <f t="shared" si="140"/>
        <v>0</v>
      </c>
      <c r="AO144" s="10">
        <f t="shared" si="141"/>
        <v>0</v>
      </c>
      <c r="AP144" s="10">
        <f t="shared" si="142"/>
        <v>0</v>
      </c>
    </row>
    <row r="145" spans="1:42" x14ac:dyDescent="0.25">
      <c r="A145">
        <v>0.33090000000000003</v>
      </c>
      <c r="B145">
        <v>0.63394143009417636</v>
      </c>
      <c r="C145">
        <v>0.60124134557047271</v>
      </c>
      <c r="D145">
        <v>0.53875759294569614</v>
      </c>
      <c r="E145">
        <v>0.3046501931768627</v>
      </c>
      <c r="F145">
        <v>0.72989950066630582</v>
      </c>
      <c r="G145">
        <v>0.31611658375354751</v>
      </c>
      <c r="H145">
        <v>0.493212709105675</v>
      </c>
      <c r="I145">
        <v>0.72343767206344067</v>
      </c>
      <c r="J145">
        <v>0.60655422933103653</v>
      </c>
      <c r="M145">
        <f t="shared" si="118"/>
        <v>0.81697071504708818</v>
      </c>
      <c r="N145">
        <f t="shared" si="119"/>
        <v>0.8006206727852363</v>
      </c>
      <c r="O145">
        <f t="shared" si="120"/>
        <v>0.76937879647284801</v>
      </c>
      <c r="P145">
        <f t="shared" si="121"/>
        <v>0.6523250965884313</v>
      </c>
      <c r="Q145">
        <f t="shared" si="122"/>
        <v>0.86494975033315291</v>
      </c>
      <c r="R145">
        <f t="shared" si="123"/>
        <v>0.65805829187677378</v>
      </c>
      <c r="S145">
        <f t="shared" si="124"/>
        <v>0.74660635455283753</v>
      </c>
      <c r="T145">
        <f t="shared" si="125"/>
        <v>0.86171883603172028</v>
      </c>
      <c r="U145">
        <f t="shared" si="126"/>
        <v>0.80327711466551821</v>
      </c>
      <c r="X145">
        <f t="shared" si="127"/>
        <v>1.6350042261851883E-2</v>
      </c>
      <c r="Y145">
        <f t="shared" si="128"/>
        <v>4.7591918574240166E-2</v>
      </c>
      <c r="Z145">
        <f t="shared" si="129"/>
        <v>0.16464561845865688</v>
      </c>
      <c r="AA145">
        <f t="shared" si="130"/>
        <v>-4.7979035286064731E-2</v>
      </c>
      <c r="AB145">
        <f t="shared" si="131"/>
        <v>0.1589124231703144</v>
      </c>
      <c r="AC145">
        <f t="shared" si="132"/>
        <v>7.0364360494250655E-2</v>
      </c>
      <c r="AD145">
        <f t="shared" si="133"/>
        <v>-4.47481209846321E-2</v>
      </c>
      <c r="AE145">
        <f t="shared" si="134"/>
        <v>1.369360038156997E-2</v>
      </c>
      <c r="AI145">
        <f t="shared" si="135"/>
        <v>3.2700084523703654E-2</v>
      </c>
      <c r="AJ145">
        <f t="shared" si="136"/>
        <v>9.5183837148480221E-2</v>
      </c>
      <c r="AK145">
        <f t="shared" si="137"/>
        <v>0.32929123691731366</v>
      </c>
      <c r="AL145">
        <f t="shared" si="138"/>
        <v>-9.5958070572129461E-2</v>
      </c>
      <c r="AM145">
        <f t="shared" si="139"/>
        <v>0.31782484634062885</v>
      </c>
      <c r="AN145">
        <f t="shared" si="140"/>
        <v>0.14072872098850137</v>
      </c>
      <c r="AO145">
        <f t="shared" si="141"/>
        <v>-8.9496241969264312E-2</v>
      </c>
      <c r="AP145">
        <f t="shared" si="142"/>
        <v>2.738720076313983E-2</v>
      </c>
    </row>
    <row r="146" spans="1:42" x14ac:dyDescent="0.25">
      <c r="A146">
        <v>0.40439999999999998</v>
      </c>
      <c r="B146">
        <v>0.70837756686470477</v>
      </c>
      <c r="C146">
        <v>0.64043644249495091</v>
      </c>
      <c r="D146">
        <v>0.594557619986399</v>
      </c>
      <c r="E146">
        <v>0.41326466637542569</v>
      </c>
      <c r="F146">
        <v>0.67181527600528612</v>
      </c>
      <c r="G146">
        <v>0.42351917527162652</v>
      </c>
      <c r="H146">
        <v>0.40760404968730651</v>
      </c>
      <c r="I146">
        <v>0.75302121977662195</v>
      </c>
      <c r="J146">
        <v>0.64809928073925305</v>
      </c>
      <c r="M146">
        <f t="shared" si="118"/>
        <v>0.85418878343235238</v>
      </c>
      <c r="N146">
        <f t="shared" si="119"/>
        <v>0.82021822124747545</v>
      </c>
      <c r="O146">
        <f t="shared" si="120"/>
        <v>0.79727880999319956</v>
      </c>
      <c r="P146">
        <f t="shared" si="121"/>
        <v>0.7066323331877129</v>
      </c>
      <c r="Q146">
        <f t="shared" si="122"/>
        <v>0.83590763800264312</v>
      </c>
      <c r="R146">
        <f t="shared" si="123"/>
        <v>0.71175958763581326</v>
      </c>
      <c r="S146">
        <f t="shared" si="124"/>
        <v>0.70380202484365328</v>
      </c>
      <c r="T146">
        <f t="shared" si="125"/>
        <v>0.87651060988831098</v>
      </c>
      <c r="U146">
        <f t="shared" si="126"/>
        <v>0.82404964036962647</v>
      </c>
      <c r="X146">
        <f t="shared" si="127"/>
        <v>3.3970562184876929E-2</v>
      </c>
      <c r="Y146">
        <f t="shared" si="128"/>
        <v>5.6909973439152828E-2</v>
      </c>
      <c r="Z146">
        <f t="shared" si="129"/>
        <v>0.14755645024463948</v>
      </c>
      <c r="AA146">
        <f t="shared" si="130"/>
        <v>1.8281145429709267E-2</v>
      </c>
      <c r="AB146">
        <f t="shared" si="131"/>
        <v>0.14242919579653912</v>
      </c>
      <c r="AC146">
        <f t="shared" si="132"/>
        <v>0.1503867585886991</v>
      </c>
      <c r="AD146">
        <f t="shared" si="133"/>
        <v>-2.2321826455958593E-2</v>
      </c>
      <c r="AE146">
        <f t="shared" si="134"/>
        <v>3.0139143062725915E-2</v>
      </c>
      <c r="AI146">
        <f t="shared" si="135"/>
        <v>6.7941124369753858E-2</v>
      </c>
      <c r="AJ146">
        <f t="shared" si="136"/>
        <v>0.11381994687830577</v>
      </c>
      <c r="AK146">
        <f t="shared" si="137"/>
        <v>0.29511290048927907</v>
      </c>
      <c r="AL146">
        <f t="shared" si="138"/>
        <v>3.6562290859418645E-2</v>
      </c>
      <c r="AM146">
        <f t="shared" si="139"/>
        <v>0.28485839159307824</v>
      </c>
      <c r="AN146">
        <f t="shared" si="140"/>
        <v>0.30077351717739825</v>
      </c>
      <c r="AO146">
        <f t="shared" si="141"/>
        <v>-4.4643652911917187E-2</v>
      </c>
      <c r="AP146">
        <f t="shared" si="142"/>
        <v>6.0278286125451719E-2</v>
      </c>
    </row>
    <row r="147" spans="1:42" x14ac:dyDescent="0.25">
      <c r="A147">
        <v>0.47789999999999999</v>
      </c>
      <c r="B147">
        <v>0.76178018132208702</v>
      </c>
      <c r="C147">
        <v>0.7080328012735243</v>
      </c>
      <c r="D147">
        <v>0.6740134107470781</v>
      </c>
      <c r="E147">
        <v>0.45312517722260071</v>
      </c>
      <c r="F147">
        <v>0.64015903345210368</v>
      </c>
      <c r="G147">
        <v>0.42623456729455289</v>
      </c>
      <c r="H147">
        <v>0.35077395233784092</v>
      </c>
      <c r="I147">
        <v>0.76227011827366098</v>
      </c>
      <c r="J147">
        <v>0.71805491419746259</v>
      </c>
      <c r="M147">
        <f t="shared" si="118"/>
        <v>0.88089009066104351</v>
      </c>
      <c r="N147">
        <f t="shared" si="119"/>
        <v>0.8540164006367621</v>
      </c>
      <c r="O147">
        <f t="shared" si="120"/>
        <v>0.83700670537353905</v>
      </c>
      <c r="P147">
        <f t="shared" si="121"/>
        <v>0.7265625886113003</v>
      </c>
      <c r="Q147">
        <f t="shared" si="122"/>
        <v>0.82007951672605184</v>
      </c>
      <c r="R147">
        <f t="shared" si="123"/>
        <v>0.71311728364727645</v>
      </c>
      <c r="S147">
        <f t="shared" si="124"/>
        <v>0.67538697616892041</v>
      </c>
      <c r="T147">
        <f t="shared" si="125"/>
        <v>0.88113505913683055</v>
      </c>
      <c r="U147">
        <f t="shared" si="126"/>
        <v>0.8590274570987313</v>
      </c>
      <c r="X147">
        <f t="shared" si="127"/>
        <v>2.6873690024281416E-2</v>
      </c>
      <c r="Y147">
        <f t="shared" si="128"/>
        <v>4.3883385287504462E-2</v>
      </c>
      <c r="Z147">
        <f t="shared" si="129"/>
        <v>0.15432750204974321</v>
      </c>
      <c r="AA147">
        <f t="shared" si="130"/>
        <v>6.0810573934991674E-2</v>
      </c>
      <c r="AB147">
        <f t="shared" si="131"/>
        <v>0.16777280701376707</v>
      </c>
      <c r="AC147">
        <f t="shared" si="132"/>
        <v>0.20550311449212311</v>
      </c>
      <c r="AD147">
        <f t="shared" si="133"/>
        <v>-2.4496847578703296E-4</v>
      </c>
      <c r="AE147">
        <f t="shared" si="134"/>
        <v>2.1862633562312217E-2</v>
      </c>
      <c r="AI147">
        <f t="shared" si="135"/>
        <v>5.3747380048562721E-2</v>
      </c>
      <c r="AJ147">
        <f t="shared" si="136"/>
        <v>8.7766770575008923E-2</v>
      </c>
      <c r="AK147">
        <f t="shared" si="137"/>
        <v>0.30865500409948632</v>
      </c>
      <c r="AL147">
        <f t="shared" si="138"/>
        <v>0.12162114786998335</v>
      </c>
      <c r="AM147">
        <f t="shared" si="139"/>
        <v>0.33554561402753413</v>
      </c>
      <c r="AN147">
        <f t="shared" si="140"/>
        <v>0.4110062289842461</v>
      </c>
      <c r="AO147">
        <f t="shared" si="141"/>
        <v>-4.8993695157395489E-4</v>
      </c>
      <c r="AP147">
        <f t="shared" si="142"/>
        <v>4.3725267124624434E-2</v>
      </c>
    </row>
    <row r="148" spans="1:42" x14ac:dyDescent="0.25">
      <c r="A148">
        <v>0.55149999999999999</v>
      </c>
      <c r="B148">
        <v>0.795000309472499</v>
      </c>
      <c r="C148">
        <v>0.68305609454975247</v>
      </c>
      <c r="D148">
        <v>0.68305179008765848</v>
      </c>
      <c r="E148">
        <v>0.53268553546183117</v>
      </c>
      <c r="F148">
        <v>0.54569270617511123</v>
      </c>
      <c r="G148">
        <v>0.51641396113804561</v>
      </c>
      <c r="H148">
        <v>0.2473134135438759</v>
      </c>
      <c r="I148">
        <v>0.70719859444332123</v>
      </c>
      <c r="J148">
        <v>0.69659944814858377</v>
      </c>
      <c r="M148">
        <f t="shared" si="118"/>
        <v>0.89750015473624956</v>
      </c>
      <c r="N148">
        <f t="shared" si="119"/>
        <v>0.84152804727487629</v>
      </c>
      <c r="O148">
        <f t="shared" si="120"/>
        <v>0.84152589504382924</v>
      </c>
      <c r="P148">
        <f t="shared" si="121"/>
        <v>0.76634276773091559</v>
      </c>
      <c r="Q148">
        <f t="shared" si="122"/>
        <v>0.77284635308755556</v>
      </c>
      <c r="R148">
        <f t="shared" si="123"/>
        <v>0.7582069805690228</v>
      </c>
      <c r="S148">
        <f t="shared" si="124"/>
        <v>0.62365670677193796</v>
      </c>
      <c r="T148">
        <f t="shared" si="125"/>
        <v>0.85359929722166061</v>
      </c>
      <c r="U148">
        <f t="shared" si="126"/>
        <v>0.84829972407429188</v>
      </c>
      <c r="X148">
        <f t="shared" si="127"/>
        <v>5.5972107461373266E-2</v>
      </c>
      <c r="Y148">
        <f t="shared" si="128"/>
        <v>5.5974259692420314E-2</v>
      </c>
      <c r="Z148">
        <f t="shared" si="129"/>
        <v>0.13115738700533397</v>
      </c>
      <c r="AA148">
        <f t="shared" si="130"/>
        <v>0.124653801648694</v>
      </c>
      <c r="AB148">
        <f t="shared" si="131"/>
        <v>0.13929317416722675</v>
      </c>
      <c r="AC148">
        <f t="shared" si="132"/>
        <v>0.27384344796431159</v>
      </c>
      <c r="AD148">
        <f t="shared" si="133"/>
        <v>4.3900857514588942E-2</v>
      </c>
      <c r="AE148">
        <f t="shared" si="134"/>
        <v>4.9200430661957673E-2</v>
      </c>
      <c r="AI148">
        <f t="shared" si="135"/>
        <v>0.11194421492274653</v>
      </c>
      <c r="AJ148">
        <f t="shared" si="136"/>
        <v>0.11194851938484052</v>
      </c>
      <c r="AK148">
        <f t="shared" si="137"/>
        <v>0.26231477401066783</v>
      </c>
      <c r="AL148">
        <f t="shared" si="138"/>
        <v>0.24930760329738777</v>
      </c>
      <c r="AM148">
        <f t="shared" si="139"/>
        <v>0.27858634833445339</v>
      </c>
      <c r="AN148">
        <f t="shared" si="140"/>
        <v>0.54768689592862307</v>
      </c>
      <c r="AO148">
        <f t="shared" si="141"/>
        <v>8.7801715029177774E-2</v>
      </c>
      <c r="AP148">
        <f t="shared" si="142"/>
        <v>9.8400861323915234E-2</v>
      </c>
    </row>
    <row r="149" spans="1:42" x14ac:dyDescent="0.25">
      <c r="A149">
        <v>0.625</v>
      </c>
      <c r="B149">
        <v>0.78459071343191733</v>
      </c>
      <c r="C149">
        <v>0.64380338379763979</v>
      </c>
      <c r="D149">
        <v>0.61536275455612699</v>
      </c>
      <c r="E149">
        <v>0.60768444024120905</v>
      </c>
      <c r="F149">
        <v>0.4793028384816887</v>
      </c>
      <c r="G149">
        <v>0.59199296059307438</v>
      </c>
      <c r="H149">
        <v>0.17397704610169409</v>
      </c>
      <c r="I149">
        <v>0.671474859827351</v>
      </c>
      <c r="J149">
        <v>0.65969976364449512</v>
      </c>
      <c r="K149">
        <f>MIN(C145:J154)</f>
        <v>7.0010332737207998E-2</v>
      </c>
      <c r="M149">
        <f t="shared" si="118"/>
        <v>0.89229535671595861</v>
      </c>
      <c r="N149">
        <f t="shared" si="119"/>
        <v>0.8219016918988199</v>
      </c>
      <c r="O149">
        <f t="shared" si="120"/>
        <v>0.80768137727806355</v>
      </c>
      <c r="P149">
        <f t="shared" si="121"/>
        <v>0.80384222012060458</v>
      </c>
      <c r="Q149">
        <f t="shared" si="122"/>
        <v>0.73965141924084432</v>
      </c>
      <c r="R149">
        <f t="shared" si="123"/>
        <v>0.79599648029653713</v>
      </c>
      <c r="S149">
        <f t="shared" si="124"/>
        <v>0.58698852305084703</v>
      </c>
      <c r="T149">
        <f t="shared" si="125"/>
        <v>0.8357374299136755</v>
      </c>
      <c r="U149">
        <f t="shared" si="126"/>
        <v>0.8298498818222475</v>
      </c>
      <c r="X149">
        <f t="shared" si="127"/>
        <v>7.0393664817138712E-2</v>
      </c>
      <c r="Y149">
        <f t="shared" si="128"/>
        <v>8.4613979437895059E-2</v>
      </c>
      <c r="Z149">
        <f t="shared" si="129"/>
        <v>8.8453136595354032E-2</v>
      </c>
      <c r="AA149">
        <f t="shared" si="130"/>
        <v>0.15264393747511429</v>
      </c>
      <c r="AB149">
        <f t="shared" si="131"/>
        <v>9.6298876419421475E-2</v>
      </c>
      <c r="AC149">
        <f t="shared" si="132"/>
        <v>0.30530683366511158</v>
      </c>
      <c r="AD149">
        <f t="shared" si="133"/>
        <v>5.6557926802283109E-2</v>
      </c>
      <c r="AE149">
        <f t="shared" si="134"/>
        <v>6.2445474893711106E-2</v>
      </c>
      <c r="AI149">
        <f t="shared" si="135"/>
        <v>0.14078732963427754</v>
      </c>
      <c r="AJ149">
        <f t="shared" si="136"/>
        <v>0.16922795887579034</v>
      </c>
      <c r="AK149">
        <f t="shared" si="137"/>
        <v>0.17690627319070829</v>
      </c>
      <c r="AL149">
        <f t="shared" si="138"/>
        <v>0.30528787495022863</v>
      </c>
      <c r="AM149">
        <f t="shared" si="139"/>
        <v>0.19259775283884295</v>
      </c>
      <c r="AN149">
        <f t="shared" si="140"/>
        <v>0.61061366733022326</v>
      </c>
      <c r="AO149">
        <f t="shared" si="141"/>
        <v>0.11311585360456633</v>
      </c>
      <c r="AP149">
        <f t="shared" si="142"/>
        <v>0.12489094978742221</v>
      </c>
    </row>
    <row r="150" spans="1:42" x14ac:dyDescent="0.25">
      <c r="A150">
        <v>0.69850000000000001</v>
      </c>
      <c r="B150">
        <v>0.7463257230127166</v>
      </c>
      <c r="C150">
        <v>0.61438886713107743</v>
      </c>
      <c r="D150">
        <v>0.56780019817241656</v>
      </c>
      <c r="E150">
        <v>0.67951762798442883</v>
      </c>
      <c r="F150">
        <v>0.43802642000818343</v>
      </c>
      <c r="G150">
        <v>0.63616318521905624</v>
      </c>
      <c r="H150">
        <v>0.16242464303465259</v>
      </c>
      <c r="I150">
        <v>0.63734017538597398</v>
      </c>
      <c r="J150">
        <v>0.62851274913409072</v>
      </c>
      <c r="K150">
        <f>MAX(C145:J154)</f>
        <v>0.76227011827366098</v>
      </c>
      <c r="M150">
        <f t="shared" si="118"/>
        <v>0.87316286150635825</v>
      </c>
      <c r="N150">
        <f t="shared" si="119"/>
        <v>0.80719443356553877</v>
      </c>
      <c r="O150">
        <f t="shared" si="120"/>
        <v>0.78390009908620828</v>
      </c>
      <c r="P150">
        <f t="shared" si="121"/>
        <v>0.83975881399221441</v>
      </c>
      <c r="Q150">
        <f t="shared" si="122"/>
        <v>0.71901321000409169</v>
      </c>
      <c r="R150">
        <f t="shared" si="123"/>
        <v>0.81808159260952817</v>
      </c>
      <c r="S150">
        <f t="shared" si="124"/>
        <v>0.58121232151732627</v>
      </c>
      <c r="T150">
        <f t="shared" si="125"/>
        <v>0.81867008769298699</v>
      </c>
      <c r="U150">
        <f t="shared" si="126"/>
        <v>0.81425637456704536</v>
      </c>
      <c r="X150">
        <f t="shared" si="127"/>
        <v>6.5968427940819474E-2</v>
      </c>
      <c r="Y150">
        <f t="shared" si="128"/>
        <v>8.9262762420149966E-2</v>
      </c>
      <c r="Z150">
        <f t="shared" si="129"/>
        <v>3.3404047514143831E-2</v>
      </c>
      <c r="AA150">
        <f t="shared" si="130"/>
        <v>0.15414965150226656</v>
      </c>
      <c r="AB150">
        <f t="shared" si="131"/>
        <v>5.5081268896830071E-2</v>
      </c>
      <c r="AC150">
        <f t="shared" si="132"/>
        <v>0.29195053998903198</v>
      </c>
      <c r="AD150">
        <f t="shared" si="133"/>
        <v>5.4492773813371254E-2</v>
      </c>
      <c r="AE150">
        <f t="shared" si="134"/>
        <v>5.8906486939312885E-2</v>
      </c>
      <c r="AI150">
        <f t="shared" si="135"/>
        <v>0.13193685588163917</v>
      </c>
      <c r="AJ150">
        <f t="shared" si="136"/>
        <v>0.17852552484030004</v>
      </c>
      <c r="AK150">
        <f t="shared" si="137"/>
        <v>6.6808095028287773E-2</v>
      </c>
      <c r="AL150">
        <f t="shared" si="138"/>
        <v>0.30829930300453318</v>
      </c>
      <c r="AM150">
        <f t="shared" si="139"/>
        <v>0.11016253779366036</v>
      </c>
      <c r="AN150">
        <f t="shared" si="140"/>
        <v>0.58390107997806395</v>
      </c>
      <c r="AO150">
        <f t="shared" si="141"/>
        <v>0.10898554762674262</v>
      </c>
      <c r="AP150">
        <f t="shared" si="142"/>
        <v>0.11781297387862588</v>
      </c>
    </row>
    <row r="151" spans="1:42" x14ac:dyDescent="0.25">
      <c r="A151">
        <v>0.77210000000000001</v>
      </c>
      <c r="B151">
        <v>0.69205909292963008</v>
      </c>
      <c r="C151">
        <v>0.59178566812284583</v>
      </c>
      <c r="D151">
        <v>0.53218430068907974</v>
      </c>
      <c r="E151">
        <v>0.72644290546397872</v>
      </c>
      <c r="F151">
        <v>0.39899724289025629</v>
      </c>
      <c r="G151">
        <v>0.69129987500121504</v>
      </c>
      <c r="H151">
        <v>0.1242455482327567</v>
      </c>
      <c r="I151">
        <v>0.57883115598483337</v>
      </c>
      <c r="J151">
        <v>0.61003975340822725</v>
      </c>
      <c r="M151">
        <f t="shared" si="118"/>
        <v>0.8460295464648151</v>
      </c>
      <c r="N151">
        <f t="shared" si="119"/>
        <v>0.79589283406142286</v>
      </c>
      <c r="O151">
        <f t="shared" si="120"/>
        <v>0.76609215034453992</v>
      </c>
      <c r="P151">
        <f t="shared" si="121"/>
        <v>0.86322145273198936</v>
      </c>
      <c r="Q151">
        <f t="shared" si="122"/>
        <v>0.6994986214451282</v>
      </c>
      <c r="R151">
        <f t="shared" si="123"/>
        <v>0.84564993750060746</v>
      </c>
      <c r="S151">
        <f t="shared" si="124"/>
        <v>0.56212277411637834</v>
      </c>
      <c r="T151">
        <f t="shared" si="125"/>
        <v>0.78941557799241668</v>
      </c>
      <c r="U151">
        <f t="shared" si="126"/>
        <v>0.80501987670411368</v>
      </c>
      <c r="X151">
        <f t="shared" si="127"/>
        <v>5.0136712403392236E-2</v>
      </c>
      <c r="Y151">
        <f t="shared" si="128"/>
        <v>7.9937396120275173E-2</v>
      </c>
      <c r="Z151">
        <f t="shared" si="129"/>
        <v>-1.7191906267174262E-2</v>
      </c>
      <c r="AA151">
        <f t="shared" si="130"/>
        <v>0.1465309250196869</v>
      </c>
      <c r="AB151">
        <f t="shared" si="131"/>
        <v>3.796089642076339E-4</v>
      </c>
      <c r="AC151">
        <f t="shared" si="132"/>
        <v>0.28390677234843675</v>
      </c>
      <c r="AD151">
        <f t="shared" si="133"/>
        <v>5.6613968472398413E-2</v>
      </c>
      <c r="AE151">
        <f t="shared" si="134"/>
        <v>4.1009669760701417E-2</v>
      </c>
      <c r="AI151">
        <f t="shared" si="135"/>
        <v>0.10027342480678425</v>
      </c>
      <c r="AJ151">
        <f t="shared" si="136"/>
        <v>0.15987479224055035</v>
      </c>
      <c r="AK151">
        <f t="shared" si="137"/>
        <v>-3.4383812534348634E-2</v>
      </c>
      <c r="AL151">
        <f t="shared" si="138"/>
        <v>0.29306185003937379</v>
      </c>
      <c r="AM151">
        <f t="shared" si="139"/>
        <v>7.5921792841504576E-4</v>
      </c>
      <c r="AN151">
        <f t="shared" si="140"/>
        <v>0.5678135446968734</v>
      </c>
      <c r="AO151">
        <f t="shared" si="141"/>
        <v>0.11322793694479671</v>
      </c>
      <c r="AP151">
        <f t="shared" si="142"/>
        <v>8.2019339521402834E-2</v>
      </c>
    </row>
    <row r="152" spans="1:42" x14ac:dyDescent="0.25">
      <c r="A152">
        <v>0.84560000000000002</v>
      </c>
      <c r="B152">
        <v>0.62621216573611516</v>
      </c>
      <c r="C152">
        <v>0.55537608490692758</v>
      </c>
      <c r="D152">
        <v>0.49119162428509539</v>
      </c>
      <c r="E152">
        <v>0.7287442527794713</v>
      </c>
      <c r="F152">
        <v>0.33130416833513121</v>
      </c>
      <c r="G152">
        <v>0.69245513976213335</v>
      </c>
      <c r="H152">
        <v>7.0010332737207998E-2</v>
      </c>
      <c r="I152">
        <v>0.53890306543934929</v>
      </c>
      <c r="J152">
        <v>0.56890749375529559</v>
      </c>
      <c r="M152">
        <f t="shared" si="118"/>
        <v>0.81310608286805763</v>
      </c>
      <c r="N152">
        <f t="shared" si="119"/>
        <v>0.77768804245346379</v>
      </c>
      <c r="O152">
        <f t="shared" si="120"/>
        <v>0.74559581214254766</v>
      </c>
      <c r="P152">
        <f t="shared" si="121"/>
        <v>0.86437212638973571</v>
      </c>
      <c r="Q152">
        <f t="shared" si="122"/>
        <v>0.66565208416756561</v>
      </c>
      <c r="R152">
        <f t="shared" si="123"/>
        <v>0.84622756988106662</v>
      </c>
      <c r="S152">
        <f t="shared" si="124"/>
        <v>0.53500516636860396</v>
      </c>
      <c r="T152">
        <f t="shared" si="125"/>
        <v>0.7694515327196747</v>
      </c>
      <c r="U152">
        <f t="shared" si="126"/>
        <v>0.7844537468776478</v>
      </c>
      <c r="X152">
        <f t="shared" si="127"/>
        <v>3.5418040414593843E-2</v>
      </c>
      <c r="Y152">
        <f t="shared" si="128"/>
        <v>6.7510270725509969E-2</v>
      </c>
      <c r="Z152">
        <f t="shared" si="129"/>
        <v>-5.1266043521678073E-2</v>
      </c>
      <c r="AA152">
        <f t="shared" si="130"/>
        <v>0.14745399870049203</v>
      </c>
      <c r="AB152">
        <f t="shared" si="131"/>
        <v>-3.3121487013008988E-2</v>
      </c>
      <c r="AC152">
        <f t="shared" si="132"/>
        <v>0.27810091649945368</v>
      </c>
      <c r="AD152">
        <f t="shared" si="133"/>
        <v>4.3654550148382931E-2</v>
      </c>
      <c r="AE152">
        <f t="shared" si="134"/>
        <v>2.8652335990409838E-2</v>
      </c>
      <c r="AI152">
        <f t="shared" si="135"/>
        <v>7.0836080829187575E-2</v>
      </c>
      <c r="AJ152">
        <f t="shared" si="136"/>
        <v>0.13502054145101977</v>
      </c>
      <c r="AK152">
        <f t="shared" si="137"/>
        <v>-0.10253208704335615</v>
      </c>
      <c r="AL152">
        <f t="shared" si="138"/>
        <v>0.29490799740098395</v>
      </c>
      <c r="AM152">
        <f t="shared" si="139"/>
        <v>-6.6242974026018198E-2</v>
      </c>
      <c r="AN152">
        <f t="shared" si="140"/>
        <v>0.55620183299890713</v>
      </c>
      <c r="AO152">
        <f t="shared" si="141"/>
        <v>8.7309100296765862E-2</v>
      </c>
      <c r="AP152">
        <f t="shared" si="142"/>
        <v>5.7304671980819566E-2</v>
      </c>
    </row>
    <row r="153" spans="1:42" x14ac:dyDescent="0.25">
      <c r="A153">
        <v>0.91910000000000003</v>
      </c>
      <c r="B153">
        <v>0.6044666470761092</v>
      </c>
      <c r="C153">
        <v>0.53007823358171802</v>
      </c>
      <c r="D153">
        <v>0.4752278964958298</v>
      </c>
      <c r="E153">
        <v>0.67519905536087466</v>
      </c>
      <c r="F153">
        <v>0.32266145090030168</v>
      </c>
      <c r="G153">
        <v>0.67186386542766041</v>
      </c>
      <c r="H153">
        <v>9.2954895567049306E-2</v>
      </c>
      <c r="I153">
        <v>0.50183877163729795</v>
      </c>
      <c r="J153">
        <v>0.54007970968703345</v>
      </c>
      <c r="M153">
        <f t="shared" si="118"/>
        <v>0.80223332353805454</v>
      </c>
      <c r="N153">
        <f t="shared" si="119"/>
        <v>0.76503911679085901</v>
      </c>
      <c r="O153">
        <f t="shared" si="120"/>
        <v>0.73761394824791493</v>
      </c>
      <c r="P153">
        <f t="shared" si="121"/>
        <v>0.83759952768043733</v>
      </c>
      <c r="Q153">
        <f t="shared" si="122"/>
        <v>0.66133072545015081</v>
      </c>
      <c r="R153">
        <f t="shared" si="123"/>
        <v>0.83593193271383015</v>
      </c>
      <c r="S153">
        <f t="shared" si="124"/>
        <v>0.54647744778352469</v>
      </c>
      <c r="T153">
        <f t="shared" si="125"/>
        <v>0.75091938581864892</v>
      </c>
      <c r="U153">
        <f t="shared" si="126"/>
        <v>0.77003985484351678</v>
      </c>
      <c r="X153">
        <f t="shared" si="127"/>
        <v>3.7194206747195535E-2</v>
      </c>
      <c r="Y153">
        <f t="shared" si="128"/>
        <v>6.4619375290139613E-2</v>
      </c>
      <c r="Z153">
        <f t="shared" si="129"/>
        <v>-3.5366204142382784E-2</v>
      </c>
      <c r="AA153">
        <f t="shared" si="130"/>
        <v>0.14090259808790373</v>
      </c>
      <c r="AB153">
        <f t="shared" si="131"/>
        <v>-3.3698609175775607E-2</v>
      </c>
      <c r="AC153">
        <f t="shared" si="132"/>
        <v>0.25575587575452985</v>
      </c>
      <c r="AD153">
        <f t="shared" si="133"/>
        <v>5.1313937719405622E-2</v>
      </c>
      <c r="AE153">
        <f t="shared" si="134"/>
        <v>3.2193468694537763E-2</v>
      </c>
      <c r="AI153">
        <f t="shared" si="135"/>
        <v>7.4388413494391181E-2</v>
      </c>
      <c r="AJ153">
        <f t="shared" si="136"/>
        <v>0.12923875058027939</v>
      </c>
      <c r="AK153">
        <f t="shared" si="137"/>
        <v>-7.0732408284765458E-2</v>
      </c>
      <c r="AL153">
        <f t="shared" si="138"/>
        <v>0.28180519617580752</v>
      </c>
      <c r="AM153">
        <f t="shared" si="139"/>
        <v>-6.7397218351551214E-2</v>
      </c>
      <c r="AN153">
        <f t="shared" si="140"/>
        <v>0.51151175150905992</v>
      </c>
      <c r="AO153">
        <f t="shared" si="141"/>
        <v>0.10262787543881124</v>
      </c>
      <c r="AP153">
        <f t="shared" si="142"/>
        <v>6.4386937389075749E-2</v>
      </c>
    </row>
    <row r="154" spans="1:42" x14ac:dyDescent="0.25">
      <c r="A154">
        <v>0.99260000000000004</v>
      </c>
      <c r="B154">
        <v>0.34520343433724171</v>
      </c>
      <c r="C154">
        <v>0.28457802159800188</v>
      </c>
      <c r="D154">
        <v>0.24534256765020809</v>
      </c>
      <c r="E154">
        <v>0.34030643787081211</v>
      </c>
      <c r="F154">
        <v>0.23009055737285269</v>
      </c>
      <c r="G154">
        <v>0.3529238818575634</v>
      </c>
      <c r="H154">
        <v>7.1291802512128799E-2</v>
      </c>
      <c r="I154">
        <v>0.31344825567316148</v>
      </c>
      <c r="J154">
        <v>0.29105909455364998</v>
      </c>
      <c r="M154">
        <f t="shared" si="118"/>
        <v>0.67260171716862083</v>
      </c>
      <c r="N154">
        <f t="shared" si="119"/>
        <v>0.64228901079900091</v>
      </c>
      <c r="O154">
        <f t="shared" si="120"/>
        <v>0.62267128382510406</v>
      </c>
      <c r="P154">
        <f t="shared" si="121"/>
        <v>0.67015321893540603</v>
      </c>
      <c r="Q154">
        <f t="shared" si="122"/>
        <v>0.61504527868642633</v>
      </c>
      <c r="R154">
        <f t="shared" si="123"/>
        <v>0.67646194092878176</v>
      </c>
      <c r="S154">
        <f t="shared" si="124"/>
        <v>0.53564590125606437</v>
      </c>
      <c r="T154">
        <f t="shared" si="125"/>
        <v>0.65672412783658074</v>
      </c>
      <c r="U154">
        <f t="shared" si="126"/>
        <v>0.64552954727682499</v>
      </c>
      <c r="X154">
        <f t="shared" si="127"/>
        <v>3.0312706369619913E-2</v>
      </c>
      <c r="Y154">
        <f t="shared" si="128"/>
        <v>4.9930433343516767E-2</v>
      </c>
      <c r="Z154">
        <f t="shared" si="129"/>
        <v>2.448498233214802E-3</v>
      </c>
      <c r="AA154">
        <f t="shared" si="130"/>
        <v>5.7556438482194494E-2</v>
      </c>
      <c r="AB154">
        <f t="shared" si="131"/>
        <v>-3.8602237601609302E-3</v>
      </c>
      <c r="AC154">
        <f t="shared" si="132"/>
        <v>0.13695581591255646</v>
      </c>
      <c r="AD154">
        <f t="shared" si="133"/>
        <v>1.5877589332040087E-2</v>
      </c>
      <c r="AE154">
        <f t="shared" si="134"/>
        <v>2.7072169891795839E-2</v>
      </c>
      <c r="AF154">
        <f>COUNT(X145:X154)</f>
        <v>10</v>
      </c>
      <c r="AI154">
        <f t="shared" si="135"/>
        <v>6.0625412739239826E-2</v>
      </c>
      <c r="AJ154">
        <f t="shared" si="136"/>
        <v>9.9860866687033617E-2</v>
      </c>
      <c r="AK154">
        <f t="shared" si="137"/>
        <v>4.896996466429604E-3</v>
      </c>
      <c r="AL154">
        <f t="shared" si="138"/>
        <v>0.11511287696438902</v>
      </c>
      <c r="AM154">
        <f t="shared" si="139"/>
        <v>-7.7204475203216938E-3</v>
      </c>
      <c r="AN154">
        <f t="shared" si="140"/>
        <v>0.27391163182511291</v>
      </c>
      <c r="AO154">
        <f t="shared" si="141"/>
        <v>3.175517866408023E-2</v>
      </c>
      <c r="AP154">
        <f t="shared" si="142"/>
        <v>5.4144339783591733E-2</v>
      </c>
    </row>
    <row r="155" spans="1:42" s="10" customFormat="1" x14ac:dyDescent="0.25">
      <c r="A155" s="10" t="s">
        <v>27</v>
      </c>
      <c r="M155" s="10">
        <f>AVERAGE(M145:M154)</f>
        <v>0.83489786321385995</v>
      </c>
      <c r="N155" s="10">
        <f t="shared" ref="N155" si="159">AVERAGE(N145:N154)</f>
        <v>0.79263884715134547</v>
      </c>
      <c r="O155" s="10">
        <f t="shared" ref="O155" si="160">AVERAGE(O145:O154)</f>
        <v>0.7708744877807796</v>
      </c>
      <c r="P155" s="10">
        <f t="shared" ref="P155" si="161">AVERAGE(P145:P154)</f>
        <v>0.77308101459687462</v>
      </c>
      <c r="Q155" s="10">
        <f t="shared" ref="Q155" si="162">AVERAGE(Q145:Q154)</f>
        <v>0.7393974597143611</v>
      </c>
      <c r="R155" s="10">
        <f t="shared" ref="R155" si="163">AVERAGE(R145:R154)</f>
        <v>0.76594915976592381</v>
      </c>
      <c r="S155" s="10">
        <f t="shared" ref="S155" si="164">AVERAGE(S145:S154)</f>
        <v>0.6096904196430093</v>
      </c>
      <c r="T155" s="10">
        <f t="shared" ref="T155" si="165">AVERAGE(T145:T154)</f>
        <v>0.80938819442525056</v>
      </c>
      <c r="U155" s="10">
        <f t="shared" ref="U155" si="166">AVERAGE(U145:U154)</f>
        <v>0.79838032182995633</v>
      </c>
      <c r="X155" s="10">
        <f>((M155-N155)/N155)*100</f>
        <v>5.3314338824533527</v>
      </c>
      <c r="Y155" s="10">
        <f>((M155-O155)/O155)*100</f>
        <v>8.3052917754994162</v>
      </c>
      <c r="Z155" s="10">
        <f>((M155-P155)/P155)*100</f>
        <v>7.996166954018384</v>
      </c>
      <c r="AA155" s="10">
        <f>((M155-Q155)/Q155)*100</f>
        <v>12.915976684095169</v>
      </c>
      <c r="AB155" s="10">
        <f>((M155-R155)/R155)*100</f>
        <v>9.0017336749879124</v>
      </c>
      <c r="AC155" s="10">
        <f>((M155-S155)/S155)*100</f>
        <v>36.937999403486756</v>
      </c>
      <c r="AD155" s="10">
        <f>((M155-T155)/T155)*100</f>
        <v>3.1517223705892929</v>
      </c>
      <c r="AE155" s="10">
        <f>((M155-U155)/U155)*100</f>
        <v>4.5739530879471424</v>
      </c>
      <c r="AI155" s="10">
        <f t="shared" si="135"/>
        <v>0</v>
      </c>
      <c r="AJ155" s="10">
        <f t="shared" si="136"/>
        <v>0</v>
      </c>
      <c r="AK155" s="10">
        <f t="shared" si="137"/>
        <v>0</v>
      </c>
      <c r="AL155" s="10">
        <f t="shared" si="138"/>
        <v>0</v>
      </c>
      <c r="AM155" s="10">
        <f t="shared" si="139"/>
        <v>0</v>
      </c>
      <c r="AN155" s="10">
        <f t="shared" si="140"/>
        <v>0</v>
      </c>
      <c r="AO155" s="10">
        <f t="shared" si="141"/>
        <v>0</v>
      </c>
      <c r="AP155" s="10">
        <f t="shared" si="142"/>
        <v>0</v>
      </c>
    </row>
    <row r="156" spans="1:42" x14ac:dyDescent="0.25">
      <c r="A156">
        <v>0.22520000000000001</v>
      </c>
      <c r="B156">
        <v>0.67516405764215259</v>
      </c>
      <c r="C156">
        <v>0.65424089544177655</v>
      </c>
      <c r="D156">
        <v>0.55853283694993916</v>
      </c>
      <c r="E156">
        <v>0.38334878100872438</v>
      </c>
      <c r="F156">
        <v>0.70372070070655057</v>
      </c>
      <c r="G156">
        <v>0.36121002472078351</v>
      </c>
      <c r="H156">
        <v>0.47662983774978612</v>
      </c>
      <c r="I156">
        <v>0.76681826589175106</v>
      </c>
      <c r="J156">
        <v>0.63177917401892658</v>
      </c>
      <c r="M156">
        <f t="shared" si="118"/>
        <v>0.83758202882107624</v>
      </c>
      <c r="N156">
        <f t="shared" si="119"/>
        <v>0.82712044772088822</v>
      </c>
      <c r="O156">
        <f t="shared" si="120"/>
        <v>0.77926641847496958</v>
      </c>
      <c r="P156">
        <f t="shared" si="121"/>
        <v>0.69167439050436219</v>
      </c>
      <c r="Q156">
        <f t="shared" si="122"/>
        <v>0.85186035035327534</v>
      </c>
      <c r="R156">
        <f t="shared" si="123"/>
        <v>0.68060501236039173</v>
      </c>
      <c r="S156">
        <f t="shared" si="124"/>
        <v>0.73831491887489309</v>
      </c>
      <c r="T156">
        <f t="shared" si="125"/>
        <v>0.88340913294587553</v>
      </c>
      <c r="U156">
        <f t="shared" si="126"/>
        <v>0.81588958700946335</v>
      </c>
      <c r="X156">
        <f t="shared" si="127"/>
        <v>1.0461581100188022E-2</v>
      </c>
      <c r="Y156">
        <f t="shared" si="128"/>
        <v>5.8315610346106661E-2</v>
      </c>
      <c r="Z156">
        <f t="shared" si="129"/>
        <v>0.14590763831671405</v>
      </c>
      <c r="AA156">
        <f t="shared" si="130"/>
        <v>-1.4278321532199101E-2</v>
      </c>
      <c r="AB156">
        <f t="shared" si="131"/>
        <v>0.15697701646068452</v>
      </c>
      <c r="AC156">
        <f t="shared" si="132"/>
        <v>9.9267109946183152E-2</v>
      </c>
      <c r="AD156">
        <f t="shared" si="133"/>
        <v>-4.5827104124799289E-2</v>
      </c>
      <c r="AE156">
        <f t="shared" si="134"/>
        <v>2.1692441811612895E-2</v>
      </c>
      <c r="AI156">
        <f t="shared" si="135"/>
        <v>2.0923162200376044E-2</v>
      </c>
      <c r="AJ156">
        <f t="shared" si="136"/>
        <v>0.11663122069221343</v>
      </c>
      <c r="AK156">
        <f t="shared" si="137"/>
        <v>0.29181527663342821</v>
      </c>
      <c r="AL156">
        <f t="shared" si="138"/>
        <v>-2.855664306439798E-2</v>
      </c>
      <c r="AM156">
        <f t="shared" si="139"/>
        <v>0.31395403292136909</v>
      </c>
      <c r="AN156">
        <f t="shared" si="140"/>
        <v>0.19853421989236647</v>
      </c>
      <c r="AO156">
        <f t="shared" si="141"/>
        <v>-9.1654208249598468E-2</v>
      </c>
      <c r="AP156">
        <f t="shared" si="142"/>
        <v>4.3384883623226012E-2</v>
      </c>
    </row>
    <row r="157" spans="1:42" x14ac:dyDescent="0.25">
      <c r="A157">
        <v>0.27529999999999999</v>
      </c>
      <c r="B157">
        <v>0.72562856097412365</v>
      </c>
      <c r="C157">
        <v>0.64522015123531284</v>
      </c>
      <c r="D157">
        <v>0.53172995671747658</v>
      </c>
      <c r="E157">
        <v>0.43400317075686118</v>
      </c>
      <c r="F157">
        <v>0.65909872307371598</v>
      </c>
      <c r="G157">
        <v>0.41800211202730259</v>
      </c>
      <c r="H157">
        <v>0.42015521903278441</v>
      </c>
      <c r="I157">
        <v>0.77596812545553306</v>
      </c>
      <c r="J157">
        <v>0.61395840027353654</v>
      </c>
      <c r="M157">
        <f t="shared" si="118"/>
        <v>0.86281428048706177</v>
      </c>
      <c r="N157">
        <f t="shared" si="119"/>
        <v>0.82261007561765642</v>
      </c>
      <c r="O157">
        <f t="shared" si="120"/>
        <v>0.76586497835873835</v>
      </c>
      <c r="P157">
        <f t="shared" si="121"/>
        <v>0.71700158537843062</v>
      </c>
      <c r="Q157">
        <f t="shared" si="122"/>
        <v>0.82954936153685799</v>
      </c>
      <c r="R157">
        <f t="shared" si="123"/>
        <v>0.70900105601365127</v>
      </c>
      <c r="S157">
        <f t="shared" si="124"/>
        <v>0.71007760951639221</v>
      </c>
      <c r="T157">
        <f t="shared" si="125"/>
        <v>0.88798406272776653</v>
      </c>
      <c r="U157">
        <f t="shared" si="126"/>
        <v>0.80697920013676827</v>
      </c>
      <c r="X157">
        <f t="shared" si="127"/>
        <v>4.0204204869405347E-2</v>
      </c>
      <c r="Y157">
        <f t="shared" si="128"/>
        <v>9.6949302128323422E-2</v>
      </c>
      <c r="Z157">
        <f t="shared" si="129"/>
        <v>0.14581269510863115</v>
      </c>
      <c r="AA157">
        <f t="shared" si="130"/>
        <v>3.3264918950203781E-2</v>
      </c>
      <c r="AB157">
        <f t="shared" si="131"/>
        <v>0.1538132244734105</v>
      </c>
      <c r="AC157">
        <f t="shared" si="132"/>
        <v>0.15273667097066956</v>
      </c>
      <c r="AD157">
        <f t="shared" si="133"/>
        <v>-2.5169782240704763E-2</v>
      </c>
      <c r="AE157">
        <f t="shared" si="134"/>
        <v>5.5835080350293498E-2</v>
      </c>
      <c r="AI157">
        <f t="shared" si="135"/>
        <v>8.0408409738810804E-2</v>
      </c>
      <c r="AJ157">
        <f t="shared" si="136"/>
        <v>0.19389860425664707</v>
      </c>
      <c r="AK157">
        <f t="shared" si="137"/>
        <v>0.29162539021726247</v>
      </c>
      <c r="AL157">
        <f t="shared" si="138"/>
        <v>6.6529837900407673E-2</v>
      </c>
      <c r="AM157">
        <f t="shared" si="139"/>
        <v>0.30762644894682106</v>
      </c>
      <c r="AN157">
        <f t="shared" si="140"/>
        <v>0.30547334194133924</v>
      </c>
      <c r="AO157">
        <f t="shared" si="141"/>
        <v>-5.0339564481409416E-2</v>
      </c>
      <c r="AP157">
        <f t="shared" si="142"/>
        <v>0.11167016070058711</v>
      </c>
    </row>
    <row r="158" spans="1:42" x14ac:dyDescent="0.25">
      <c r="A158">
        <v>0.32529999999999998</v>
      </c>
      <c r="B158">
        <v>0.77611636109664239</v>
      </c>
      <c r="C158">
        <v>0.62044126398234356</v>
      </c>
      <c r="D158">
        <v>0.48983230110791293</v>
      </c>
      <c r="E158">
        <v>0.48588831048272468</v>
      </c>
      <c r="F158">
        <v>0.5966477618644872</v>
      </c>
      <c r="G158">
        <v>0.47145076297907168</v>
      </c>
      <c r="H158">
        <v>0.34870322305565998</v>
      </c>
      <c r="I158">
        <v>0.7554468768973347</v>
      </c>
      <c r="J158">
        <v>0.57825977987583721</v>
      </c>
      <c r="M158">
        <f t="shared" si="118"/>
        <v>0.8880581805483212</v>
      </c>
      <c r="N158">
        <f t="shared" si="119"/>
        <v>0.81022063199117178</v>
      </c>
      <c r="O158">
        <f t="shared" si="120"/>
        <v>0.74491615055395644</v>
      </c>
      <c r="P158">
        <f t="shared" si="121"/>
        <v>0.74294415524136237</v>
      </c>
      <c r="Q158">
        <f t="shared" si="122"/>
        <v>0.7983238809322436</v>
      </c>
      <c r="R158">
        <f t="shared" si="123"/>
        <v>0.73572538148953581</v>
      </c>
      <c r="S158">
        <f t="shared" si="124"/>
        <v>0.67435161152782996</v>
      </c>
      <c r="T158">
        <f t="shared" si="125"/>
        <v>0.8777234384486674</v>
      </c>
      <c r="U158">
        <f t="shared" si="126"/>
        <v>0.78912988993791866</v>
      </c>
      <c r="X158">
        <f t="shared" si="127"/>
        <v>7.7837548557149416E-2</v>
      </c>
      <c r="Y158">
        <f t="shared" si="128"/>
        <v>0.14314202999436476</v>
      </c>
      <c r="Z158">
        <f t="shared" si="129"/>
        <v>0.14511402530695883</v>
      </c>
      <c r="AA158">
        <f t="shared" si="130"/>
        <v>8.9734299616077595E-2</v>
      </c>
      <c r="AB158">
        <f t="shared" si="131"/>
        <v>0.15233279905878538</v>
      </c>
      <c r="AC158">
        <f t="shared" si="132"/>
        <v>0.21370656902049123</v>
      </c>
      <c r="AD158">
        <f t="shared" si="133"/>
        <v>1.0334742099653793E-2</v>
      </c>
      <c r="AE158">
        <f t="shared" si="134"/>
        <v>9.8928290610402536E-2</v>
      </c>
      <c r="AI158">
        <f t="shared" si="135"/>
        <v>0.15567509711429883</v>
      </c>
      <c r="AJ158">
        <f t="shared" si="136"/>
        <v>0.28628405998872947</v>
      </c>
      <c r="AK158">
        <f t="shared" si="137"/>
        <v>0.29022805061391771</v>
      </c>
      <c r="AL158">
        <f t="shared" si="138"/>
        <v>0.17946859923215519</v>
      </c>
      <c r="AM158">
        <f t="shared" si="139"/>
        <v>0.30466559811757071</v>
      </c>
      <c r="AN158">
        <f t="shared" si="140"/>
        <v>0.42741313804098241</v>
      </c>
      <c r="AO158">
        <f t="shared" si="141"/>
        <v>2.0669484199307697E-2</v>
      </c>
      <c r="AP158">
        <f t="shared" si="142"/>
        <v>0.19785658122080518</v>
      </c>
    </row>
    <row r="159" spans="1:42" x14ac:dyDescent="0.25">
      <c r="A159">
        <v>0.37540000000000001</v>
      </c>
      <c r="B159">
        <v>0.8154053074148816</v>
      </c>
      <c r="C159">
        <v>0.604847210745588</v>
      </c>
      <c r="D159">
        <v>0.44715798522671618</v>
      </c>
      <c r="E159">
        <v>0.55660671189491684</v>
      </c>
      <c r="F159">
        <v>0.53293393687895962</v>
      </c>
      <c r="G159">
        <v>0.53765878922446364</v>
      </c>
      <c r="H159">
        <v>0.28931395472080118</v>
      </c>
      <c r="I159">
        <v>0.71397869798795566</v>
      </c>
      <c r="J159">
        <v>0.54738208083228213</v>
      </c>
      <c r="M159">
        <f t="shared" si="118"/>
        <v>0.90770265370744085</v>
      </c>
      <c r="N159">
        <f t="shared" si="119"/>
        <v>0.802423605372794</v>
      </c>
      <c r="O159">
        <f t="shared" si="120"/>
        <v>0.72357899261335812</v>
      </c>
      <c r="P159">
        <f t="shared" si="121"/>
        <v>0.77830335594745836</v>
      </c>
      <c r="Q159">
        <f t="shared" si="122"/>
        <v>0.76646696843947981</v>
      </c>
      <c r="R159">
        <f t="shared" si="123"/>
        <v>0.76882939461223176</v>
      </c>
      <c r="S159">
        <f t="shared" si="124"/>
        <v>0.64465697736040062</v>
      </c>
      <c r="T159">
        <f t="shared" si="125"/>
        <v>0.85698934899397783</v>
      </c>
      <c r="U159">
        <f t="shared" si="126"/>
        <v>0.77369104041614101</v>
      </c>
      <c r="X159">
        <f t="shared" si="127"/>
        <v>0.10527904833464685</v>
      </c>
      <c r="Y159">
        <f t="shared" si="128"/>
        <v>0.18412366109408274</v>
      </c>
      <c r="Z159">
        <f t="shared" si="129"/>
        <v>0.12939929775998249</v>
      </c>
      <c r="AA159">
        <f t="shared" si="130"/>
        <v>0.14123568526796104</v>
      </c>
      <c r="AB159">
        <f t="shared" si="131"/>
        <v>0.13887325909520909</v>
      </c>
      <c r="AC159">
        <f t="shared" si="132"/>
        <v>0.26304567634704024</v>
      </c>
      <c r="AD159">
        <f t="shared" si="133"/>
        <v>5.0713304713463025E-2</v>
      </c>
      <c r="AE159">
        <f t="shared" si="134"/>
        <v>0.13401161329129985</v>
      </c>
      <c r="AI159">
        <f t="shared" si="135"/>
        <v>0.21055809666929359</v>
      </c>
      <c r="AJ159">
        <f t="shared" si="136"/>
        <v>0.36824732218816542</v>
      </c>
      <c r="AK159">
        <f t="shared" si="137"/>
        <v>0.25879859551996476</v>
      </c>
      <c r="AL159">
        <f t="shared" si="138"/>
        <v>0.28247137053592197</v>
      </c>
      <c r="AM159">
        <f t="shared" si="139"/>
        <v>0.27774651819041796</v>
      </c>
      <c r="AN159">
        <f t="shared" si="140"/>
        <v>0.52609135269408047</v>
      </c>
      <c r="AO159">
        <f t="shared" si="141"/>
        <v>0.10142660942692594</v>
      </c>
      <c r="AP159">
        <f t="shared" si="142"/>
        <v>0.26802322658259947</v>
      </c>
    </row>
    <row r="160" spans="1:42" x14ac:dyDescent="0.25">
      <c r="A160">
        <v>0.4254</v>
      </c>
      <c r="B160">
        <v>0.81992179600650783</v>
      </c>
      <c r="C160">
        <v>0.56815764131738078</v>
      </c>
      <c r="D160">
        <v>0.40176228741225861</v>
      </c>
      <c r="E160">
        <v>0.61646143984195889</v>
      </c>
      <c r="F160">
        <v>0.46550528054887091</v>
      </c>
      <c r="G160">
        <v>0.60865242766203143</v>
      </c>
      <c r="H160">
        <v>0.2317345830400997</v>
      </c>
      <c r="I160">
        <v>0.65723468242365568</v>
      </c>
      <c r="J160">
        <v>0.50370858410493369</v>
      </c>
      <c r="M160">
        <f t="shared" si="118"/>
        <v>0.90996089800325386</v>
      </c>
      <c r="N160">
        <f t="shared" si="119"/>
        <v>0.78407882065869039</v>
      </c>
      <c r="O160">
        <f t="shared" si="120"/>
        <v>0.70088114370612931</v>
      </c>
      <c r="P160">
        <f t="shared" si="121"/>
        <v>0.8082307199209795</v>
      </c>
      <c r="Q160">
        <f t="shared" si="122"/>
        <v>0.73275264027443543</v>
      </c>
      <c r="R160">
        <f t="shared" si="123"/>
        <v>0.80432621383101566</v>
      </c>
      <c r="S160">
        <f t="shared" si="124"/>
        <v>0.61586729152004982</v>
      </c>
      <c r="T160">
        <f t="shared" si="125"/>
        <v>0.82861734121182784</v>
      </c>
      <c r="U160">
        <f t="shared" si="126"/>
        <v>0.7518542920524669</v>
      </c>
      <c r="X160">
        <f t="shared" si="127"/>
        <v>0.12588207734456347</v>
      </c>
      <c r="Y160">
        <f t="shared" si="128"/>
        <v>0.20907975429712455</v>
      </c>
      <c r="Z160">
        <f t="shared" si="129"/>
        <v>0.10173017808227436</v>
      </c>
      <c r="AA160">
        <f t="shared" si="130"/>
        <v>0.17720825772881843</v>
      </c>
      <c r="AB160">
        <f t="shared" si="131"/>
        <v>0.1056346841722382</v>
      </c>
      <c r="AC160">
        <f t="shared" si="132"/>
        <v>0.29409360648320404</v>
      </c>
      <c r="AD160">
        <f t="shared" si="133"/>
        <v>8.1343556791426019E-2</v>
      </c>
      <c r="AE160">
        <f t="shared" si="134"/>
        <v>0.15810660595078696</v>
      </c>
      <c r="AI160">
        <f t="shared" si="135"/>
        <v>0.25176415468912705</v>
      </c>
      <c r="AJ160">
        <f t="shared" si="136"/>
        <v>0.41815950859424922</v>
      </c>
      <c r="AK160">
        <f t="shared" si="137"/>
        <v>0.20346035616454894</v>
      </c>
      <c r="AL160">
        <f t="shared" si="138"/>
        <v>0.35441651545763692</v>
      </c>
      <c r="AM160">
        <f t="shared" si="139"/>
        <v>0.2112693683444764</v>
      </c>
      <c r="AN160">
        <f t="shared" si="140"/>
        <v>0.58818721296640808</v>
      </c>
      <c r="AO160">
        <f t="shared" si="141"/>
        <v>0.16268711358285215</v>
      </c>
      <c r="AP160">
        <f t="shared" si="142"/>
        <v>0.31621321190157414</v>
      </c>
    </row>
    <row r="161" spans="1:42" x14ac:dyDescent="0.25">
      <c r="A161">
        <v>0.47539999999999999</v>
      </c>
      <c r="B161">
        <v>0.80027606687615804</v>
      </c>
      <c r="C161">
        <v>0.55296544017353855</v>
      </c>
      <c r="D161">
        <v>0.38202968506982621</v>
      </c>
      <c r="E161">
        <v>0.65676353250897557</v>
      </c>
      <c r="F161">
        <v>0.42928398251996819</v>
      </c>
      <c r="G161">
        <v>0.64010714741114494</v>
      </c>
      <c r="H161">
        <v>0.20630636182668299</v>
      </c>
      <c r="I161">
        <v>0.62820402210838089</v>
      </c>
      <c r="J161">
        <v>0.48619578971586319</v>
      </c>
      <c r="M161">
        <f t="shared" si="118"/>
        <v>0.90013803343807908</v>
      </c>
      <c r="N161">
        <f t="shared" si="119"/>
        <v>0.77648272008676922</v>
      </c>
      <c r="O161">
        <f t="shared" si="120"/>
        <v>0.69101484253491308</v>
      </c>
      <c r="P161">
        <f t="shared" si="121"/>
        <v>0.82838176625448778</v>
      </c>
      <c r="Q161">
        <f t="shared" si="122"/>
        <v>0.71464199125998407</v>
      </c>
      <c r="R161">
        <f t="shared" si="123"/>
        <v>0.82005357370557252</v>
      </c>
      <c r="S161">
        <f t="shared" si="124"/>
        <v>0.60315318091334147</v>
      </c>
      <c r="T161">
        <f t="shared" si="125"/>
        <v>0.81410201105419044</v>
      </c>
      <c r="U161">
        <f t="shared" si="126"/>
        <v>0.74309789485793165</v>
      </c>
      <c r="X161">
        <f t="shared" si="127"/>
        <v>0.12365531335130986</v>
      </c>
      <c r="Y161">
        <f t="shared" si="128"/>
        <v>0.209123190903166</v>
      </c>
      <c r="Z161">
        <f t="shared" si="129"/>
        <v>7.1756267183591294E-2</v>
      </c>
      <c r="AA161">
        <f t="shared" si="130"/>
        <v>0.18549604217809501</v>
      </c>
      <c r="AB161">
        <f t="shared" si="131"/>
        <v>8.0084459732506552E-2</v>
      </c>
      <c r="AC161">
        <f t="shared" si="132"/>
        <v>0.29698485252473761</v>
      </c>
      <c r="AD161">
        <f t="shared" si="133"/>
        <v>8.6036022383888633E-2</v>
      </c>
      <c r="AE161">
        <f t="shared" si="134"/>
        <v>0.15704013858014743</v>
      </c>
      <c r="AI161">
        <f t="shared" si="135"/>
        <v>0.2473106267026195</v>
      </c>
      <c r="AJ161">
        <f t="shared" si="136"/>
        <v>0.41824638180633184</v>
      </c>
      <c r="AK161">
        <f t="shared" si="137"/>
        <v>0.14351253436718248</v>
      </c>
      <c r="AL161">
        <f t="shared" si="138"/>
        <v>0.37099208435618986</v>
      </c>
      <c r="AM161">
        <f t="shared" si="139"/>
        <v>0.1601689194650131</v>
      </c>
      <c r="AN161">
        <f t="shared" si="140"/>
        <v>0.59396970504947499</v>
      </c>
      <c r="AO161">
        <f t="shared" si="141"/>
        <v>0.17207204476777715</v>
      </c>
      <c r="AP161">
        <f t="shared" si="142"/>
        <v>0.31408027716029485</v>
      </c>
    </row>
    <row r="162" spans="1:42" x14ac:dyDescent="0.25">
      <c r="A162">
        <v>0.52549999999999997</v>
      </c>
      <c r="B162">
        <v>0.75720059931652284</v>
      </c>
      <c r="C162">
        <v>0.53247890012128229</v>
      </c>
      <c r="D162">
        <v>0.35754782164183369</v>
      </c>
      <c r="E162">
        <v>0.68510365573820697</v>
      </c>
      <c r="F162">
        <v>0.39883803253733069</v>
      </c>
      <c r="G162">
        <v>0.67067871131640588</v>
      </c>
      <c r="H162">
        <v>0.18660346187475579</v>
      </c>
      <c r="I162">
        <v>0.58925549667781063</v>
      </c>
      <c r="J162">
        <v>0.46272722046273618</v>
      </c>
      <c r="M162">
        <f t="shared" si="118"/>
        <v>0.87860029965826136</v>
      </c>
      <c r="N162">
        <f t="shared" si="119"/>
        <v>0.76623945006064109</v>
      </c>
      <c r="O162">
        <f t="shared" si="120"/>
        <v>0.67877391082091687</v>
      </c>
      <c r="P162">
        <f t="shared" si="121"/>
        <v>0.84255182786910354</v>
      </c>
      <c r="Q162">
        <f t="shared" si="122"/>
        <v>0.69941901626866532</v>
      </c>
      <c r="R162">
        <f t="shared" si="123"/>
        <v>0.83533935565820294</v>
      </c>
      <c r="S162">
        <f t="shared" si="124"/>
        <v>0.59330173093737792</v>
      </c>
      <c r="T162">
        <f t="shared" si="125"/>
        <v>0.79462774833890526</v>
      </c>
      <c r="U162">
        <f t="shared" si="126"/>
        <v>0.73136361023136809</v>
      </c>
      <c r="X162">
        <f t="shared" si="127"/>
        <v>0.11236084959762027</v>
      </c>
      <c r="Y162">
        <f t="shared" si="128"/>
        <v>0.19982638883734449</v>
      </c>
      <c r="Z162">
        <f t="shared" si="129"/>
        <v>3.6048471789157821E-2</v>
      </c>
      <c r="AA162">
        <f t="shared" si="130"/>
        <v>0.17918128338959605</v>
      </c>
      <c r="AB162">
        <f t="shared" si="131"/>
        <v>4.3260944000058421E-2</v>
      </c>
      <c r="AC162">
        <f t="shared" si="132"/>
        <v>0.28529856872088344</v>
      </c>
      <c r="AD162">
        <f t="shared" si="133"/>
        <v>8.3972551319356104E-2</v>
      </c>
      <c r="AE162">
        <f t="shared" si="134"/>
        <v>0.14723668942689327</v>
      </c>
      <c r="AI162">
        <f t="shared" si="135"/>
        <v>0.22472169919524054</v>
      </c>
      <c r="AJ162">
        <f t="shared" si="136"/>
        <v>0.39965277767468915</v>
      </c>
      <c r="AK162">
        <f t="shared" si="137"/>
        <v>7.2096943578315864E-2</v>
      </c>
      <c r="AL162">
        <f t="shared" si="138"/>
        <v>0.35836256677919215</v>
      </c>
      <c r="AM162">
        <f t="shared" si="139"/>
        <v>8.6521888000116953E-2</v>
      </c>
      <c r="AN162">
        <f t="shared" si="140"/>
        <v>0.5705971374417671</v>
      </c>
      <c r="AO162">
        <f t="shared" si="141"/>
        <v>0.16794510263871221</v>
      </c>
      <c r="AP162">
        <f t="shared" si="142"/>
        <v>0.29447337885378666</v>
      </c>
    </row>
    <row r="163" spans="1:42" x14ac:dyDescent="0.25">
      <c r="A163">
        <v>0.57550000000000001</v>
      </c>
      <c r="B163">
        <v>0.75241002109464405</v>
      </c>
      <c r="C163">
        <v>0.53193727531854351</v>
      </c>
      <c r="D163">
        <v>0.35847972836240161</v>
      </c>
      <c r="E163">
        <v>0.71066853834132582</v>
      </c>
      <c r="F163">
        <v>0.3945642835240934</v>
      </c>
      <c r="G163">
        <v>0.69099797746560754</v>
      </c>
      <c r="H163">
        <v>0.18537094579104529</v>
      </c>
      <c r="I163">
        <v>0.58606596928033994</v>
      </c>
      <c r="J163">
        <v>0.46274739234378293</v>
      </c>
      <c r="M163">
        <f t="shared" si="118"/>
        <v>0.87620501054732203</v>
      </c>
      <c r="N163">
        <f t="shared" si="119"/>
        <v>0.76596863765927181</v>
      </c>
      <c r="O163">
        <f t="shared" si="120"/>
        <v>0.67923986418120075</v>
      </c>
      <c r="P163">
        <f t="shared" si="121"/>
        <v>0.85533426917066291</v>
      </c>
      <c r="Q163">
        <f t="shared" si="122"/>
        <v>0.69728214176204673</v>
      </c>
      <c r="R163">
        <f t="shared" si="123"/>
        <v>0.84549898873280371</v>
      </c>
      <c r="S163">
        <f t="shared" si="124"/>
        <v>0.59268547289552265</v>
      </c>
      <c r="T163">
        <f t="shared" si="125"/>
        <v>0.79303298464017002</v>
      </c>
      <c r="U163">
        <f t="shared" si="126"/>
        <v>0.73137369617189152</v>
      </c>
      <c r="X163">
        <f t="shared" si="127"/>
        <v>0.11023637288805022</v>
      </c>
      <c r="Y163">
        <f t="shared" si="128"/>
        <v>0.19696514636612128</v>
      </c>
      <c r="Z163">
        <f t="shared" si="129"/>
        <v>2.0870741376659119E-2</v>
      </c>
      <c r="AA163">
        <f t="shared" si="130"/>
        <v>0.1789228687852753</v>
      </c>
      <c r="AB163">
        <f t="shared" si="131"/>
        <v>3.0706021814518314E-2</v>
      </c>
      <c r="AC163">
        <f t="shared" si="132"/>
        <v>0.28351953765179938</v>
      </c>
      <c r="AD163">
        <f t="shared" si="133"/>
        <v>8.3172025907152003E-2</v>
      </c>
      <c r="AE163">
        <f t="shared" si="134"/>
        <v>0.14483131437543051</v>
      </c>
      <c r="AI163">
        <f t="shared" si="135"/>
        <v>0.22047274577610054</v>
      </c>
      <c r="AJ163">
        <f t="shared" si="136"/>
        <v>0.39393029273224245</v>
      </c>
      <c r="AK163">
        <f t="shared" si="137"/>
        <v>4.1741482753318238E-2</v>
      </c>
      <c r="AL163">
        <f t="shared" si="138"/>
        <v>0.35784573757055066</v>
      </c>
      <c r="AM163">
        <f t="shared" si="139"/>
        <v>6.1412043629036517E-2</v>
      </c>
      <c r="AN163">
        <f t="shared" si="140"/>
        <v>0.56703907530359876</v>
      </c>
      <c r="AO163">
        <f t="shared" si="141"/>
        <v>0.16634405181430412</v>
      </c>
      <c r="AP163">
        <f t="shared" si="142"/>
        <v>0.28966262875086113</v>
      </c>
    </row>
    <row r="164" spans="1:42" x14ac:dyDescent="0.25">
      <c r="A164">
        <v>0.62560000000000004</v>
      </c>
      <c r="B164">
        <v>0.72805310603060391</v>
      </c>
      <c r="C164">
        <v>0.51889246558317625</v>
      </c>
      <c r="D164">
        <v>0.34878332307999149</v>
      </c>
      <c r="E164">
        <v>0.70297035635367222</v>
      </c>
      <c r="F164">
        <v>0.38292227150062769</v>
      </c>
      <c r="G164">
        <v>0.69048207534475525</v>
      </c>
      <c r="H164">
        <v>0.17501992529282881</v>
      </c>
      <c r="I164">
        <v>0.56753116821661975</v>
      </c>
      <c r="J164">
        <v>0.45128298879656459</v>
      </c>
      <c r="M164">
        <f t="shared" si="118"/>
        <v>0.86402655301530196</v>
      </c>
      <c r="N164">
        <f t="shared" si="119"/>
        <v>0.75944623279158807</v>
      </c>
      <c r="O164">
        <f t="shared" si="120"/>
        <v>0.67439166153999575</v>
      </c>
      <c r="P164">
        <f t="shared" si="121"/>
        <v>0.85148517817683611</v>
      </c>
      <c r="Q164">
        <f t="shared" si="122"/>
        <v>0.69146113575031387</v>
      </c>
      <c r="R164">
        <f t="shared" si="123"/>
        <v>0.84524103767237757</v>
      </c>
      <c r="S164">
        <f t="shared" si="124"/>
        <v>0.58750996264641442</v>
      </c>
      <c r="T164">
        <f t="shared" si="125"/>
        <v>0.78376558410830988</v>
      </c>
      <c r="U164">
        <f t="shared" si="126"/>
        <v>0.72564149439828229</v>
      </c>
      <c r="X164">
        <f t="shared" si="127"/>
        <v>0.10458032022371389</v>
      </c>
      <c r="Y164">
        <f t="shared" si="128"/>
        <v>0.18963489147530621</v>
      </c>
      <c r="Z164">
        <f t="shared" si="129"/>
        <v>1.2541374838465846E-2</v>
      </c>
      <c r="AA164">
        <f t="shared" si="130"/>
        <v>0.17256541726498809</v>
      </c>
      <c r="AB164">
        <f t="shared" si="131"/>
        <v>1.8785515342924386E-2</v>
      </c>
      <c r="AC164">
        <f t="shared" si="132"/>
        <v>0.27651659036888754</v>
      </c>
      <c r="AD164">
        <f t="shared" si="133"/>
        <v>8.0260968906992081E-2</v>
      </c>
      <c r="AE164">
        <f t="shared" si="134"/>
        <v>0.13838505861701966</v>
      </c>
      <c r="AI164">
        <f t="shared" si="135"/>
        <v>0.20916064044742766</v>
      </c>
      <c r="AJ164">
        <f t="shared" si="136"/>
        <v>0.37926978295061242</v>
      </c>
      <c r="AK164">
        <f t="shared" si="137"/>
        <v>2.5082749676931693E-2</v>
      </c>
      <c r="AL164">
        <f t="shared" si="138"/>
        <v>0.34513083452997623</v>
      </c>
      <c r="AM164">
        <f t="shared" si="139"/>
        <v>3.7571030685848661E-2</v>
      </c>
      <c r="AN164">
        <f t="shared" si="140"/>
        <v>0.55303318073777508</v>
      </c>
      <c r="AO164">
        <f t="shared" si="141"/>
        <v>0.16052193781398416</v>
      </c>
      <c r="AP164">
        <f t="shared" si="142"/>
        <v>0.27677011723403933</v>
      </c>
    </row>
    <row r="165" spans="1:42" x14ac:dyDescent="0.25">
      <c r="A165">
        <v>0.67559999999999998</v>
      </c>
      <c r="B165">
        <v>0.73684514465747175</v>
      </c>
      <c r="C165">
        <v>0.52761156255493746</v>
      </c>
      <c r="D165">
        <v>0.35231739619990132</v>
      </c>
      <c r="E165">
        <v>0.70050947913308936</v>
      </c>
      <c r="F165">
        <v>0.39216934061616548</v>
      </c>
      <c r="G165">
        <v>0.67192135925387209</v>
      </c>
      <c r="H165">
        <v>0.18031939073507969</v>
      </c>
      <c r="I165">
        <v>0.57288023281279798</v>
      </c>
      <c r="J165">
        <v>0.4583619288696581</v>
      </c>
      <c r="M165">
        <f t="shared" si="118"/>
        <v>0.86842257232873588</v>
      </c>
      <c r="N165">
        <f t="shared" si="119"/>
        <v>0.76380578127746879</v>
      </c>
      <c r="O165">
        <f t="shared" si="120"/>
        <v>0.67615869809995066</v>
      </c>
      <c r="P165">
        <f t="shared" si="121"/>
        <v>0.85025473956654474</v>
      </c>
      <c r="Q165">
        <f t="shared" si="122"/>
        <v>0.69608467030808274</v>
      </c>
      <c r="R165">
        <f t="shared" si="123"/>
        <v>0.8359606796269361</v>
      </c>
      <c r="S165">
        <f t="shared" si="124"/>
        <v>0.59015969536753987</v>
      </c>
      <c r="T165">
        <f t="shared" si="125"/>
        <v>0.78644011640639899</v>
      </c>
      <c r="U165">
        <f t="shared" si="126"/>
        <v>0.72918096443482905</v>
      </c>
      <c r="X165">
        <f t="shared" si="127"/>
        <v>0.10461679105126709</v>
      </c>
      <c r="Y165">
        <f t="shared" si="128"/>
        <v>0.19226387422878521</v>
      </c>
      <c r="Z165">
        <f t="shared" si="129"/>
        <v>1.8167832762191138E-2</v>
      </c>
      <c r="AA165">
        <f t="shared" si="130"/>
        <v>0.17233790202065313</v>
      </c>
      <c r="AB165">
        <f t="shared" si="131"/>
        <v>3.2461892701799777E-2</v>
      </c>
      <c r="AC165">
        <f t="shared" si="132"/>
        <v>0.278262876961196</v>
      </c>
      <c r="AD165">
        <f t="shared" si="133"/>
        <v>8.1982455922336883E-2</v>
      </c>
      <c r="AE165">
        <f t="shared" si="134"/>
        <v>0.13924160789390683</v>
      </c>
      <c r="AF165">
        <f>COUNT(X156:X165)</f>
        <v>10</v>
      </c>
      <c r="AI165">
        <f t="shared" si="135"/>
        <v>0.20923358210253429</v>
      </c>
      <c r="AJ165">
        <f t="shared" si="136"/>
        <v>0.38452774845757043</v>
      </c>
      <c r="AK165">
        <f t="shared" si="137"/>
        <v>3.6335665524382388E-2</v>
      </c>
      <c r="AL165">
        <f t="shared" si="138"/>
        <v>0.34467580404130627</v>
      </c>
      <c r="AM165">
        <f t="shared" si="139"/>
        <v>6.4923785403599665E-2</v>
      </c>
      <c r="AN165">
        <f t="shared" si="140"/>
        <v>0.55652575392239201</v>
      </c>
      <c r="AO165">
        <f t="shared" si="141"/>
        <v>0.16396491184467377</v>
      </c>
      <c r="AP165">
        <f t="shared" si="142"/>
        <v>0.27848321578781365</v>
      </c>
    </row>
    <row r="166" spans="1:42" s="10" customFormat="1" x14ac:dyDescent="0.25">
      <c r="A166" s="10" t="s">
        <v>26</v>
      </c>
      <c r="M166" s="10">
        <f>AVERAGE(M156:M165)</f>
        <v>0.87935105105548528</v>
      </c>
      <c r="N166" s="10">
        <f t="shared" ref="N166" si="167">AVERAGE(N156:N165)</f>
        <v>0.78783964032369402</v>
      </c>
      <c r="O166" s="10">
        <f t="shared" ref="O166" si="168">AVERAGE(O156:O165)</f>
        <v>0.7114086660884128</v>
      </c>
      <c r="P166" s="10">
        <f t="shared" ref="P166" si="169">AVERAGE(P156:P165)</f>
        <v>0.79661619880302281</v>
      </c>
      <c r="Q166" s="10">
        <f t="shared" ref="Q166" si="170">AVERAGE(Q156:Q165)</f>
        <v>0.74778421568853848</v>
      </c>
      <c r="R166" s="10">
        <f t="shared" ref="R166" si="171">AVERAGE(R156:R165)</f>
        <v>0.7880580693702719</v>
      </c>
      <c r="S166" s="10">
        <f t="shared" ref="S166" si="172">AVERAGE(S156:S165)</f>
        <v>0.63500784515597619</v>
      </c>
      <c r="T166" s="10">
        <f t="shared" ref="T166" si="173">AVERAGE(T156:T165)</f>
        <v>0.83066917688760911</v>
      </c>
      <c r="U166" s="10">
        <f t="shared" ref="U166" si="174">AVERAGE(U156:U165)</f>
        <v>0.759820166964706</v>
      </c>
      <c r="X166" s="10">
        <f>((M166-N166)/N166)*100</f>
        <v>11.615486965620645</v>
      </c>
      <c r="Y166" s="10">
        <f>((M166-O166)/O166)*100</f>
        <v>23.607019842825594</v>
      </c>
      <c r="Z166" s="10">
        <f>((M166-P166)/P166)*100</f>
        <v>10.385785824689222</v>
      </c>
      <c r="AA166" s="10">
        <f>((M166-Q166)/Q166)*100</f>
        <v>17.594224725083798</v>
      </c>
      <c r="AB166" s="10">
        <f>((M166-R166)/R166)*100</f>
        <v>11.584550077402868</v>
      </c>
      <c r="AC166" s="10">
        <f>((M166-S166)/S166)*100</f>
        <v>38.478769634647804</v>
      </c>
      <c r="AD166" s="10">
        <f>((M166-T166)/T166)*100</f>
        <v>5.860561041915596</v>
      </c>
      <c r="AE166" s="10">
        <f>((M166-U166)/U166)*100</f>
        <v>15.731470325179133</v>
      </c>
      <c r="AI166" s="10">
        <f t="shared" si="135"/>
        <v>0</v>
      </c>
      <c r="AJ166" s="10">
        <f t="shared" si="136"/>
        <v>0</v>
      </c>
      <c r="AK166" s="10">
        <f t="shared" si="137"/>
        <v>0</v>
      </c>
      <c r="AL166" s="10">
        <f t="shared" si="138"/>
        <v>0</v>
      </c>
      <c r="AM166" s="10">
        <f t="shared" si="139"/>
        <v>0</v>
      </c>
      <c r="AN166" s="10">
        <f t="shared" si="140"/>
        <v>0</v>
      </c>
      <c r="AO166" s="10">
        <f t="shared" si="141"/>
        <v>0</v>
      </c>
      <c r="AP166" s="10">
        <f t="shared" si="142"/>
        <v>0</v>
      </c>
    </row>
    <row r="167" spans="1:42" x14ac:dyDescent="0.25">
      <c r="A167">
        <v>0.19670000000000001</v>
      </c>
      <c r="B167">
        <v>0.71008500215045367</v>
      </c>
      <c r="C167">
        <v>0.64123582130538803</v>
      </c>
      <c r="D167">
        <v>0.48684015712149081</v>
      </c>
      <c r="E167">
        <v>0.39830581240448898</v>
      </c>
      <c r="F167">
        <v>0.67757255372364444</v>
      </c>
      <c r="G167">
        <v>0.41439388893340068</v>
      </c>
      <c r="H167">
        <v>0.39006975815963191</v>
      </c>
      <c r="I167">
        <v>0.74804882712049658</v>
      </c>
      <c r="J167">
        <v>0.60768646441576757</v>
      </c>
      <c r="M167">
        <f t="shared" si="118"/>
        <v>0.85504250107522684</v>
      </c>
      <c r="N167">
        <f t="shared" si="119"/>
        <v>0.82061791065269407</v>
      </c>
      <c r="O167">
        <f t="shared" si="120"/>
        <v>0.74342007856074543</v>
      </c>
      <c r="P167">
        <f t="shared" si="121"/>
        <v>0.69915290620224446</v>
      </c>
      <c r="Q167">
        <f t="shared" si="122"/>
        <v>0.83878627686182217</v>
      </c>
      <c r="R167">
        <f t="shared" si="123"/>
        <v>0.70719694446670034</v>
      </c>
      <c r="S167">
        <f t="shared" si="124"/>
        <v>0.69503487907981598</v>
      </c>
      <c r="T167">
        <f t="shared" si="125"/>
        <v>0.87402441356024829</v>
      </c>
      <c r="U167">
        <f t="shared" si="126"/>
        <v>0.80384323220788378</v>
      </c>
      <c r="X167">
        <f t="shared" si="127"/>
        <v>3.4424590422532764E-2</v>
      </c>
      <c r="Y167">
        <f t="shared" si="128"/>
        <v>0.1116224225144814</v>
      </c>
      <c r="Z167">
        <f t="shared" si="129"/>
        <v>0.15588959487298237</v>
      </c>
      <c r="AA167">
        <f t="shared" si="130"/>
        <v>1.6256224213404669E-2</v>
      </c>
      <c r="AB167">
        <f t="shared" si="131"/>
        <v>0.1478455566085265</v>
      </c>
      <c r="AC167">
        <f t="shared" si="132"/>
        <v>0.16000762199541085</v>
      </c>
      <c r="AD167">
        <f t="shared" si="133"/>
        <v>-1.8981912485021457E-2</v>
      </c>
      <c r="AE167">
        <f t="shared" si="134"/>
        <v>5.1199268867343051E-2</v>
      </c>
      <c r="AI167">
        <f t="shared" si="135"/>
        <v>6.8849180845065638E-2</v>
      </c>
      <c r="AJ167">
        <f t="shared" si="136"/>
        <v>0.22324484502896286</v>
      </c>
      <c r="AK167">
        <f t="shared" si="137"/>
        <v>0.31177918974596469</v>
      </c>
      <c r="AL167">
        <f t="shared" si="138"/>
        <v>3.2512448426809226E-2</v>
      </c>
      <c r="AM167">
        <f t="shared" si="139"/>
        <v>0.29569111321705299</v>
      </c>
      <c r="AN167">
        <f t="shared" si="140"/>
        <v>0.32001524399082176</v>
      </c>
      <c r="AO167">
        <f t="shared" si="141"/>
        <v>-3.7963824970042914E-2</v>
      </c>
      <c r="AP167">
        <f t="shared" si="142"/>
        <v>0.1023985377346861</v>
      </c>
    </row>
    <row r="168" spans="1:42" x14ac:dyDescent="0.25">
      <c r="A168">
        <v>0.2404</v>
      </c>
      <c r="B168">
        <v>0.74935695713050432</v>
      </c>
      <c r="C168">
        <v>0.65549749350726705</v>
      </c>
      <c r="D168">
        <v>0.48158693175033312</v>
      </c>
      <c r="E168">
        <v>0.45662524577391728</v>
      </c>
      <c r="F168">
        <v>0.63747529004241388</v>
      </c>
      <c r="G168">
        <v>0.45687354602096841</v>
      </c>
      <c r="H168">
        <v>0.34280082997282091</v>
      </c>
      <c r="I168">
        <v>0.74479751058485111</v>
      </c>
      <c r="J168">
        <v>0.61084748496847507</v>
      </c>
      <c r="M168">
        <f t="shared" si="118"/>
        <v>0.87467847856525216</v>
      </c>
      <c r="N168">
        <f t="shared" si="119"/>
        <v>0.82774874675363352</v>
      </c>
      <c r="O168">
        <f t="shared" si="120"/>
        <v>0.74079346587516659</v>
      </c>
      <c r="P168">
        <f t="shared" si="121"/>
        <v>0.72831262288695864</v>
      </c>
      <c r="Q168">
        <f t="shared" si="122"/>
        <v>0.81873764502120694</v>
      </c>
      <c r="R168">
        <f t="shared" si="123"/>
        <v>0.72843677301048415</v>
      </c>
      <c r="S168">
        <f t="shared" si="124"/>
        <v>0.67140041498641045</v>
      </c>
      <c r="T168">
        <f t="shared" si="125"/>
        <v>0.8723987552924255</v>
      </c>
      <c r="U168">
        <f t="shared" si="126"/>
        <v>0.80542374248423754</v>
      </c>
      <c r="X168">
        <f t="shared" si="127"/>
        <v>4.6929731811618636E-2</v>
      </c>
      <c r="Y168">
        <f t="shared" si="128"/>
        <v>0.13388501269008557</v>
      </c>
      <c r="Z168">
        <f t="shared" si="129"/>
        <v>0.14636585567829352</v>
      </c>
      <c r="AA168">
        <f t="shared" si="130"/>
        <v>5.5940833544045221E-2</v>
      </c>
      <c r="AB168">
        <f t="shared" si="131"/>
        <v>0.14624170555476801</v>
      </c>
      <c r="AC168">
        <f t="shared" si="132"/>
        <v>0.20327806357884171</v>
      </c>
      <c r="AD168">
        <f t="shared" si="133"/>
        <v>2.2797232728266614E-3</v>
      </c>
      <c r="AE168">
        <f t="shared" si="134"/>
        <v>6.9254736081014623E-2</v>
      </c>
      <c r="AI168">
        <f t="shared" si="135"/>
        <v>9.3859463623237271E-2</v>
      </c>
      <c r="AJ168">
        <f t="shared" si="136"/>
        <v>0.26777002538017119</v>
      </c>
      <c r="AK168">
        <f t="shared" si="137"/>
        <v>0.29273171135658704</v>
      </c>
      <c r="AL168">
        <f t="shared" si="138"/>
        <v>0.11188166708809044</v>
      </c>
      <c r="AM168">
        <f t="shared" si="139"/>
        <v>0.29248341110953591</v>
      </c>
      <c r="AN168">
        <f t="shared" si="140"/>
        <v>0.40655612715768341</v>
      </c>
      <c r="AO168">
        <f t="shared" si="141"/>
        <v>4.5594465456532118E-3</v>
      </c>
      <c r="AP168">
        <f t="shared" si="142"/>
        <v>0.13850947216202925</v>
      </c>
    </row>
    <row r="169" spans="1:42" x14ac:dyDescent="0.25">
      <c r="A169">
        <v>0.28410000000000002</v>
      </c>
      <c r="B169">
        <v>0.78375906548742913</v>
      </c>
      <c r="C169">
        <v>0.63857572724270817</v>
      </c>
      <c r="D169">
        <v>0.4531004273977598</v>
      </c>
      <c r="E169">
        <v>0.49047953109598408</v>
      </c>
      <c r="F169">
        <v>0.594808018109521</v>
      </c>
      <c r="G169">
        <v>0.48284891205101421</v>
      </c>
      <c r="H169">
        <v>0.2900303005501077</v>
      </c>
      <c r="I169">
        <v>0.72330409171190346</v>
      </c>
      <c r="J169">
        <v>0.58234956707355667</v>
      </c>
      <c r="M169">
        <f t="shared" si="118"/>
        <v>0.89187953274371456</v>
      </c>
      <c r="N169">
        <f t="shared" si="119"/>
        <v>0.81928786362135408</v>
      </c>
      <c r="O169">
        <f t="shared" si="120"/>
        <v>0.72655021369887995</v>
      </c>
      <c r="P169">
        <f t="shared" si="121"/>
        <v>0.74523976554799209</v>
      </c>
      <c r="Q169">
        <f t="shared" si="122"/>
        <v>0.7974040090547605</v>
      </c>
      <c r="R169">
        <f t="shared" si="123"/>
        <v>0.74142445602550711</v>
      </c>
      <c r="S169">
        <f t="shared" si="124"/>
        <v>0.64501515027505385</v>
      </c>
      <c r="T169">
        <f t="shared" si="125"/>
        <v>0.86165204585595179</v>
      </c>
      <c r="U169">
        <f t="shared" si="126"/>
        <v>0.79117478353677839</v>
      </c>
      <c r="X169">
        <f t="shared" si="127"/>
        <v>7.259166912236048E-2</v>
      </c>
      <c r="Y169">
        <f t="shared" si="128"/>
        <v>0.16532931904483461</v>
      </c>
      <c r="Z169">
        <f t="shared" si="129"/>
        <v>0.14663976719572247</v>
      </c>
      <c r="AA169">
        <f t="shared" si="130"/>
        <v>9.4475523688954066E-2</v>
      </c>
      <c r="AB169">
        <f t="shared" si="131"/>
        <v>0.15045507671820746</v>
      </c>
      <c r="AC169">
        <f t="shared" si="132"/>
        <v>0.24686438246866071</v>
      </c>
      <c r="AD169">
        <f t="shared" si="133"/>
        <v>3.0227486887762778E-2</v>
      </c>
      <c r="AE169">
        <f t="shared" si="134"/>
        <v>0.10070474920693617</v>
      </c>
      <c r="AI169">
        <f t="shared" si="135"/>
        <v>0.14518333824472096</v>
      </c>
      <c r="AJ169">
        <f t="shared" si="136"/>
        <v>0.33065863808966933</v>
      </c>
      <c r="AK169">
        <f t="shared" si="137"/>
        <v>0.29327953439144505</v>
      </c>
      <c r="AL169">
        <f t="shared" si="138"/>
        <v>0.18895104737790813</v>
      </c>
      <c r="AM169">
        <f t="shared" si="139"/>
        <v>0.30091015343641492</v>
      </c>
      <c r="AN169">
        <f t="shared" si="140"/>
        <v>0.49372876493732143</v>
      </c>
      <c r="AO169">
        <f t="shared" si="141"/>
        <v>6.0454973775525667E-2</v>
      </c>
      <c r="AP169">
        <f t="shared" si="142"/>
        <v>0.20140949841387246</v>
      </c>
    </row>
    <row r="170" spans="1:42" x14ac:dyDescent="0.25">
      <c r="A170">
        <v>0.32779999999999998</v>
      </c>
      <c r="B170">
        <v>0.80528815277205146</v>
      </c>
      <c r="C170">
        <v>0.62266137153912071</v>
      </c>
      <c r="D170">
        <v>0.41745963633169553</v>
      </c>
      <c r="E170">
        <v>0.54503084484642739</v>
      </c>
      <c r="F170">
        <v>0.53247060346452058</v>
      </c>
      <c r="G170">
        <v>0.53656401444894941</v>
      </c>
      <c r="H170">
        <v>0.22993713214678199</v>
      </c>
      <c r="I170">
        <v>0.68625165813473454</v>
      </c>
      <c r="J170">
        <v>0.54893177892135414</v>
      </c>
      <c r="M170">
        <f t="shared" si="118"/>
        <v>0.90264407638602573</v>
      </c>
      <c r="N170">
        <f t="shared" si="119"/>
        <v>0.81133068576956036</v>
      </c>
      <c r="O170">
        <f t="shared" si="120"/>
        <v>0.70872981816584779</v>
      </c>
      <c r="P170">
        <f t="shared" si="121"/>
        <v>0.77251542242321369</v>
      </c>
      <c r="Q170">
        <f t="shared" si="122"/>
        <v>0.76623530173226029</v>
      </c>
      <c r="R170">
        <f t="shared" si="123"/>
        <v>0.76828200722447471</v>
      </c>
      <c r="S170">
        <f t="shared" si="124"/>
        <v>0.61496856607339101</v>
      </c>
      <c r="T170">
        <f t="shared" si="125"/>
        <v>0.84312582906736733</v>
      </c>
      <c r="U170">
        <f t="shared" si="126"/>
        <v>0.77446588946067707</v>
      </c>
      <c r="X170">
        <f t="shared" si="127"/>
        <v>9.1313390616465373E-2</v>
      </c>
      <c r="Y170">
        <f t="shared" si="128"/>
        <v>0.19391425822017794</v>
      </c>
      <c r="Z170">
        <f t="shared" si="129"/>
        <v>0.13012865396281204</v>
      </c>
      <c r="AA170">
        <f t="shared" si="130"/>
        <v>0.13640877465376544</v>
      </c>
      <c r="AB170">
        <f t="shared" si="131"/>
        <v>0.13436206916155102</v>
      </c>
      <c r="AC170">
        <f t="shared" si="132"/>
        <v>0.28767551031263472</v>
      </c>
      <c r="AD170">
        <f t="shared" si="133"/>
        <v>5.9518247318658402E-2</v>
      </c>
      <c r="AE170">
        <f t="shared" si="134"/>
        <v>0.12817818692534866</v>
      </c>
      <c r="AI170">
        <f t="shared" si="135"/>
        <v>0.18262678123293075</v>
      </c>
      <c r="AJ170">
        <f t="shared" si="136"/>
        <v>0.38782851644035593</v>
      </c>
      <c r="AK170">
        <f t="shared" si="137"/>
        <v>0.26025730792562407</v>
      </c>
      <c r="AL170">
        <f t="shared" si="138"/>
        <v>0.27281754930753088</v>
      </c>
      <c r="AM170">
        <f t="shared" si="139"/>
        <v>0.26872413832310205</v>
      </c>
      <c r="AN170">
        <f t="shared" si="140"/>
        <v>0.57535102062526944</v>
      </c>
      <c r="AO170">
        <f t="shared" si="141"/>
        <v>0.11903649463731691</v>
      </c>
      <c r="AP170">
        <f t="shared" si="142"/>
        <v>0.25635637385069732</v>
      </c>
    </row>
    <row r="171" spans="1:42" x14ac:dyDescent="0.25">
      <c r="A171">
        <v>0.3715</v>
      </c>
      <c r="B171">
        <v>0.80323559433942593</v>
      </c>
      <c r="C171">
        <v>0.59706300417904101</v>
      </c>
      <c r="D171">
        <v>0.3769856201681086</v>
      </c>
      <c r="E171">
        <v>0.58522455958891761</v>
      </c>
      <c r="F171">
        <v>0.47778189264757609</v>
      </c>
      <c r="G171">
        <v>0.57431557739426642</v>
      </c>
      <c r="H171">
        <v>0.18553228971904151</v>
      </c>
      <c r="I171">
        <v>0.64096839479956502</v>
      </c>
      <c r="J171">
        <v>0.51133772899246777</v>
      </c>
      <c r="M171">
        <f t="shared" si="118"/>
        <v>0.90161779716971302</v>
      </c>
      <c r="N171">
        <f t="shared" si="119"/>
        <v>0.79853150208952051</v>
      </c>
      <c r="O171">
        <f t="shared" si="120"/>
        <v>0.68849281008405427</v>
      </c>
      <c r="P171">
        <f t="shared" si="121"/>
        <v>0.79261227979445881</v>
      </c>
      <c r="Q171">
        <f t="shared" si="122"/>
        <v>0.73889094632378804</v>
      </c>
      <c r="R171">
        <f t="shared" si="123"/>
        <v>0.78715778869713326</v>
      </c>
      <c r="S171">
        <f t="shared" si="124"/>
        <v>0.59276614485952073</v>
      </c>
      <c r="T171">
        <f t="shared" si="125"/>
        <v>0.82048419739978251</v>
      </c>
      <c r="U171">
        <f t="shared" si="126"/>
        <v>0.75566886449623394</v>
      </c>
      <c r="X171">
        <f t="shared" si="127"/>
        <v>0.10308629508019251</v>
      </c>
      <c r="Y171">
        <f t="shared" si="128"/>
        <v>0.21312498708565875</v>
      </c>
      <c r="Z171">
        <f t="shared" si="129"/>
        <v>0.10900551737525421</v>
      </c>
      <c r="AA171">
        <f t="shared" si="130"/>
        <v>0.16272685084592498</v>
      </c>
      <c r="AB171">
        <f t="shared" si="131"/>
        <v>0.11446000847257976</v>
      </c>
      <c r="AC171">
        <f t="shared" si="132"/>
        <v>0.30885165231019229</v>
      </c>
      <c r="AD171">
        <f t="shared" si="133"/>
        <v>8.1133599769930509E-2</v>
      </c>
      <c r="AE171">
        <f t="shared" si="134"/>
        <v>0.14594893267347908</v>
      </c>
      <c r="AI171">
        <f t="shared" si="135"/>
        <v>0.20617259016038492</v>
      </c>
      <c r="AJ171">
        <f t="shared" si="136"/>
        <v>0.42624997417131733</v>
      </c>
      <c r="AK171">
        <f t="shared" si="137"/>
        <v>0.21801103475050831</v>
      </c>
      <c r="AL171">
        <f t="shared" si="138"/>
        <v>0.32545370169184984</v>
      </c>
      <c r="AM171">
        <f t="shared" si="139"/>
        <v>0.22892001694515951</v>
      </c>
      <c r="AN171">
        <f t="shared" si="140"/>
        <v>0.61770330462038436</v>
      </c>
      <c r="AO171">
        <f t="shared" si="141"/>
        <v>0.16226719953986091</v>
      </c>
      <c r="AP171">
        <f t="shared" si="142"/>
        <v>0.29189786534695816</v>
      </c>
    </row>
    <row r="172" spans="1:42" x14ac:dyDescent="0.25">
      <c r="A172">
        <v>0.4153</v>
      </c>
      <c r="B172">
        <v>0.77109158323133964</v>
      </c>
      <c r="C172">
        <v>0.56834412312784044</v>
      </c>
      <c r="D172">
        <v>0.34918711317632539</v>
      </c>
      <c r="E172">
        <v>0.61862059732839569</v>
      </c>
      <c r="F172">
        <v>0.42998036932441192</v>
      </c>
      <c r="G172">
        <v>0.5838565945360068</v>
      </c>
      <c r="H172">
        <v>0.1491734140513184</v>
      </c>
      <c r="I172">
        <v>0.60132103160436423</v>
      </c>
      <c r="J172">
        <v>0.48008562515032249</v>
      </c>
      <c r="M172">
        <f t="shared" si="118"/>
        <v>0.88554579161566982</v>
      </c>
      <c r="N172">
        <f t="shared" si="119"/>
        <v>0.78417206156392028</v>
      </c>
      <c r="O172">
        <f t="shared" si="120"/>
        <v>0.67459355658816267</v>
      </c>
      <c r="P172">
        <f t="shared" si="121"/>
        <v>0.80931029866419779</v>
      </c>
      <c r="Q172">
        <f t="shared" si="122"/>
        <v>0.71499018466220599</v>
      </c>
      <c r="R172">
        <f t="shared" si="123"/>
        <v>0.7919282972680034</v>
      </c>
      <c r="S172">
        <f t="shared" si="124"/>
        <v>0.57458670702565917</v>
      </c>
      <c r="T172">
        <f t="shared" si="125"/>
        <v>0.80066051580218212</v>
      </c>
      <c r="U172">
        <f t="shared" si="126"/>
        <v>0.74004281257516125</v>
      </c>
      <c r="X172">
        <f t="shared" si="127"/>
        <v>0.10137373005174954</v>
      </c>
      <c r="Y172">
        <f t="shared" si="128"/>
        <v>0.21095223502750715</v>
      </c>
      <c r="Z172">
        <f t="shared" si="129"/>
        <v>7.6235492951472028E-2</v>
      </c>
      <c r="AA172">
        <f t="shared" si="130"/>
        <v>0.17055560695346383</v>
      </c>
      <c r="AB172">
        <f t="shared" si="131"/>
        <v>9.3617494347666419E-2</v>
      </c>
      <c r="AC172">
        <f t="shared" si="132"/>
        <v>0.31095908459001065</v>
      </c>
      <c r="AD172">
        <f t="shared" si="133"/>
        <v>8.4885275813487704E-2</v>
      </c>
      <c r="AE172">
        <f t="shared" si="134"/>
        <v>0.14550297904050857</v>
      </c>
      <c r="AI172">
        <f t="shared" si="135"/>
        <v>0.2027474601034992</v>
      </c>
      <c r="AJ172">
        <f t="shared" si="136"/>
        <v>0.42190447005501425</v>
      </c>
      <c r="AK172">
        <f t="shared" si="137"/>
        <v>0.15247098590294395</v>
      </c>
      <c r="AL172">
        <f t="shared" si="138"/>
        <v>0.34111121390692772</v>
      </c>
      <c r="AM172">
        <f t="shared" si="139"/>
        <v>0.18723498869533284</v>
      </c>
      <c r="AN172">
        <f t="shared" si="140"/>
        <v>0.6219181691800213</v>
      </c>
      <c r="AO172">
        <f t="shared" si="141"/>
        <v>0.16977055162697541</v>
      </c>
      <c r="AP172">
        <f t="shared" si="142"/>
        <v>0.29100595808101715</v>
      </c>
    </row>
    <row r="173" spans="1:42" x14ac:dyDescent="0.25">
      <c r="A173">
        <v>0.45900000000000002</v>
      </c>
      <c r="B173">
        <v>0.73054897877920044</v>
      </c>
      <c r="C173">
        <v>0.5565723226835575</v>
      </c>
      <c r="D173">
        <v>0.32196568344648979</v>
      </c>
      <c r="E173">
        <v>0.6537279752141395</v>
      </c>
      <c r="F173">
        <v>0.40194233410238711</v>
      </c>
      <c r="G173">
        <v>0.5829366562861612</v>
      </c>
      <c r="H173">
        <v>0.13806409772292549</v>
      </c>
      <c r="I173">
        <v>0.5720346969632758</v>
      </c>
      <c r="J173">
        <v>0.45610803752018347</v>
      </c>
      <c r="M173">
        <f t="shared" si="118"/>
        <v>0.86527448938960028</v>
      </c>
      <c r="N173">
        <f t="shared" si="119"/>
        <v>0.77828616134177875</v>
      </c>
      <c r="O173">
        <f t="shared" si="120"/>
        <v>0.66098284172324484</v>
      </c>
      <c r="P173">
        <f t="shared" si="121"/>
        <v>0.82686398760706981</v>
      </c>
      <c r="Q173">
        <f t="shared" si="122"/>
        <v>0.70097116705119356</v>
      </c>
      <c r="R173">
        <f t="shared" si="123"/>
        <v>0.79146832814308055</v>
      </c>
      <c r="S173">
        <f t="shared" si="124"/>
        <v>0.56903204886146275</v>
      </c>
      <c r="T173">
        <f t="shared" si="125"/>
        <v>0.78601734848163796</v>
      </c>
      <c r="U173">
        <f t="shared" si="126"/>
        <v>0.72805401876009168</v>
      </c>
      <c r="X173">
        <f t="shared" si="127"/>
        <v>8.6988328047821528E-2</v>
      </c>
      <c r="Y173">
        <f t="shared" si="128"/>
        <v>0.20429164766635544</v>
      </c>
      <c r="Z173">
        <f t="shared" si="129"/>
        <v>3.8410501782530471E-2</v>
      </c>
      <c r="AA173">
        <f t="shared" si="130"/>
        <v>0.16430332233840672</v>
      </c>
      <c r="AB173">
        <f t="shared" si="131"/>
        <v>7.380616124651973E-2</v>
      </c>
      <c r="AC173">
        <f t="shared" si="132"/>
        <v>0.29624244052813753</v>
      </c>
      <c r="AD173">
        <f t="shared" si="133"/>
        <v>7.925714090796232E-2</v>
      </c>
      <c r="AE173">
        <f t="shared" si="134"/>
        <v>0.1372204706295086</v>
      </c>
      <c r="AI173">
        <f t="shared" si="135"/>
        <v>0.17397665609564295</v>
      </c>
      <c r="AJ173">
        <f t="shared" si="136"/>
        <v>0.40858329533271065</v>
      </c>
      <c r="AK173">
        <f t="shared" si="137"/>
        <v>7.6821003565060941E-2</v>
      </c>
      <c r="AL173">
        <f t="shared" si="138"/>
        <v>0.32860664467681333</v>
      </c>
      <c r="AM173">
        <f t="shared" si="139"/>
        <v>0.14761232249303924</v>
      </c>
      <c r="AN173">
        <f t="shared" si="140"/>
        <v>0.59248488105627495</v>
      </c>
      <c r="AO173">
        <f t="shared" si="141"/>
        <v>0.15851428181592464</v>
      </c>
      <c r="AP173">
        <f t="shared" si="142"/>
        <v>0.27444094125901697</v>
      </c>
    </row>
    <row r="174" spans="1:42" x14ac:dyDescent="0.25">
      <c r="A174">
        <v>0.50270000000000004</v>
      </c>
      <c r="B174">
        <v>0.68676585232577736</v>
      </c>
      <c r="C174">
        <v>0.52435621165395752</v>
      </c>
      <c r="D174">
        <v>0.29011179257556158</v>
      </c>
      <c r="E174">
        <v>0.66462007085703434</v>
      </c>
      <c r="F174">
        <v>0.3552670960763844</v>
      </c>
      <c r="G174">
        <v>0.61521053723788544</v>
      </c>
      <c r="H174">
        <v>0.1036278904907611</v>
      </c>
      <c r="I174">
        <v>0.52475847254337904</v>
      </c>
      <c r="J174">
        <v>0.42166997733616041</v>
      </c>
      <c r="M174">
        <f t="shared" si="118"/>
        <v>0.84338292616288868</v>
      </c>
      <c r="N174">
        <f t="shared" si="119"/>
        <v>0.76217810582697876</v>
      </c>
      <c r="O174">
        <f t="shared" si="120"/>
        <v>0.64505589628778082</v>
      </c>
      <c r="P174">
        <f t="shared" si="121"/>
        <v>0.83231003542851711</v>
      </c>
      <c r="Q174">
        <f t="shared" si="122"/>
        <v>0.6776335480381922</v>
      </c>
      <c r="R174">
        <f t="shared" si="123"/>
        <v>0.80760526861894277</v>
      </c>
      <c r="S174">
        <f t="shared" si="124"/>
        <v>0.55181394524538052</v>
      </c>
      <c r="T174">
        <f t="shared" si="125"/>
        <v>0.76237923627168946</v>
      </c>
      <c r="U174">
        <f t="shared" si="126"/>
        <v>0.71083498866808026</v>
      </c>
      <c r="X174">
        <f t="shared" si="127"/>
        <v>8.1204820335909922E-2</v>
      </c>
      <c r="Y174">
        <f t="shared" si="128"/>
        <v>0.19832702987510786</v>
      </c>
      <c r="Z174">
        <f t="shared" si="129"/>
        <v>1.1072890734371565E-2</v>
      </c>
      <c r="AA174">
        <f t="shared" si="130"/>
        <v>0.16574937812469648</v>
      </c>
      <c r="AB174">
        <f t="shared" si="131"/>
        <v>3.5777657543945907E-2</v>
      </c>
      <c r="AC174">
        <f t="shared" si="132"/>
        <v>0.29156898091750816</v>
      </c>
      <c r="AD174">
        <f t="shared" si="133"/>
        <v>8.1003689891199215E-2</v>
      </c>
      <c r="AE174">
        <f t="shared" si="134"/>
        <v>0.13254793749480842</v>
      </c>
      <c r="AI174">
        <f t="shared" si="135"/>
        <v>0.16240964067181984</v>
      </c>
      <c r="AJ174">
        <f t="shared" si="136"/>
        <v>0.39665405975021578</v>
      </c>
      <c r="AK174">
        <f t="shared" si="137"/>
        <v>2.214578146874302E-2</v>
      </c>
      <c r="AL174">
        <f t="shared" si="138"/>
        <v>0.33149875624939296</v>
      </c>
      <c r="AM174">
        <f t="shared" si="139"/>
        <v>7.1555315087891924E-2</v>
      </c>
      <c r="AN174">
        <f t="shared" si="140"/>
        <v>0.58313796183501632</v>
      </c>
      <c r="AO174">
        <f t="shared" si="141"/>
        <v>0.16200737978239832</v>
      </c>
      <c r="AP174">
        <f t="shared" si="142"/>
        <v>0.26509587498961695</v>
      </c>
    </row>
    <row r="175" spans="1:42" x14ac:dyDescent="0.25">
      <c r="A175">
        <v>0.5464</v>
      </c>
      <c r="B175">
        <v>0.68636459305807151</v>
      </c>
      <c r="C175">
        <v>0.53670766890933574</v>
      </c>
      <c r="D175">
        <v>0.29613248844051848</v>
      </c>
      <c r="E175">
        <v>0.67583574651503642</v>
      </c>
      <c r="F175">
        <v>0.37203371008107711</v>
      </c>
      <c r="G175">
        <v>0.59849453422316023</v>
      </c>
      <c r="H175">
        <v>0.11698641034277241</v>
      </c>
      <c r="I175">
        <v>0.53745731808278996</v>
      </c>
      <c r="J175">
        <v>0.43154651717464948</v>
      </c>
      <c r="M175">
        <f t="shared" si="118"/>
        <v>0.84318229652903576</v>
      </c>
      <c r="N175">
        <f t="shared" si="119"/>
        <v>0.76835383445466787</v>
      </c>
      <c r="O175">
        <f t="shared" si="120"/>
        <v>0.64806624422025927</v>
      </c>
      <c r="P175">
        <f t="shared" si="121"/>
        <v>0.83791787325751821</v>
      </c>
      <c r="Q175">
        <f t="shared" si="122"/>
        <v>0.68601685504053855</v>
      </c>
      <c r="R175">
        <f t="shared" si="123"/>
        <v>0.79924726711158012</v>
      </c>
      <c r="S175">
        <f t="shared" si="124"/>
        <v>0.55849320517138623</v>
      </c>
      <c r="T175">
        <f t="shared" si="125"/>
        <v>0.76872865904139498</v>
      </c>
      <c r="U175">
        <f t="shared" si="126"/>
        <v>0.71577325858732477</v>
      </c>
      <c r="X175">
        <f t="shared" si="127"/>
        <v>7.4828462074367885E-2</v>
      </c>
      <c r="Y175">
        <f t="shared" si="128"/>
        <v>0.19511605230877649</v>
      </c>
      <c r="Z175">
        <f t="shared" si="129"/>
        <v>5.2644232715175487E-3</v>
      </c>
      <c r="AA175">
        <f t="shared" si="130"/>
        <v>0.1571654414884972</v>
      </c>
      <c r="AB175">
        <f t="shared" si="131"/>
        <v>4.393502941745564E-2</v>
      </c>
      <c r="AC175">
        <f t="shared" si="132"/>
        <v>0.28468909135764953</v>
      </c>
      <c r="AD175">
        <f t="shared" si="133"/>
        <v>7.4453637487640778E-2</v>
      </c>
      <c r="AE175">
        <f t="shared" si="134"/>
        <v>0.12740903794171099</v>
      </c>
      <c r="AI175">
        <f t="shared" si="135"/>
        <v>0.14965692414873577</v>
      </c>
      <c r="AJ175">
        <f t="shared" si="136"/>
        <v>0.39023210461755303</v>
      </c>
      <c r="AK175">
        <f t="shared" si="137"/>
        <v>1.0528846543035097E-2</v>
      </c>
      <c r="AL175">
        <f t="shared" si="138"/>
        <v>0.31433088297699441</v>
      </c>
      <c r="AM175">
        <f t="shared" si="139"/>
        <v>8.787005883491128E-2</v>
      </c>
      <c r="AN175">
        <f t="shared" si="140"/>
        <v>0.56937818271529905</v>
      </c>
      <c r="AO175">
        <f t="shared" si="141"/>
        <v>0.14890727497528156</v>
      </c>
      <c r="AP175">
        <f t="shared" si="142"/>
        <v>0.25481807588342203</v>
      </c>
    </row>
    <row r="176" spans="1:42" x14ac:dyDescent="0.25">
      <c r="A176">
        <v>0.59009999999999996</v>
      </c>
      <c r="B176">
        <v>0.68958503107932345</v>
      </c>
      <c r="C176">
        <v>0.54059156136050768</v>
      </c>
      <c r="D176">
        <v>0.2976528146458014</v>
      </c>
      <c r="E176">
        <v>0.66257220627525248</v>
      </c>
      <c r="F176">
        <v>0.3840108321043097</v>
      </c>
      <c r="G176">
        <v>0.59163358866314164</v>
      </c>
      <c r="H176">
        <v>0.12569420005117651</v>
      </c>
      <c r="I176">
        <v>0.5494316131041701</v>
      </c>
      <c r="J176">
        <v>0.43512343626574601</v>
      </c>
      <c r="M176">
        <f t="shared" si="118"/>
        <v>0.84479251553966173</v>
      </c>
      <c r="N176">
        <f t="shared" si="119"/>
        <v>0.77029578068025384</v>
      </c>
      <c r="O176">
        <f t="shared" si="120"/>
        <v>0.64882640732290064</v>
      </c>
      <c r="P176">
        <f t="shared" si="121"/>
        <v>0.83128610313762619</v>
      </c>
      <c r="Q176">
        <f t="shared" si="122"/>
        <v>0.69200541605215482</v>
      </c>
      <c r="R176">
        <f t="shared" si="123"/>
        <v>0.79581679433157082</v>
      </c>
      <c r="S176">
        <f t="shared" si="124"/>
        <v>0.56284710002558824</v>
      </c>
      <c r="T176">
        <f t="shared" si="125"/>
        <v>0.77471580655208505</v>
      </c>
      <c r="U176">
        <f t="shared" si="126"/>
        <v>0.71756171813287306</v>
      </c>
      <c r="X176">
        <f t="shared" si="127"/>
        <v>7.4496734859407887E-2</v>
      </c>
      <c r="Y176">
        <f t="shared" si="128"/>
        <v>0.19596610821676108</v>
      </c>
      <c r="Z176">
        <f t="shared" si="129"/>
        <v>1.3506412402035539E-2</v>
      </c>
      <c r="AA176">
        <f t="shared" si="130"/>
        <v>0.15278709948750691</v>
      </c>
      <c r="AB176">
        <f t="shared" si="131"/>
        <v>4.8975721208090905E-2</v>
      </c>
      <c r="AC176">
        <f t="shared" si="132"/>
        <v>0.28194541551407348</v>
      </c>
      <c r="AD176">
        <f t="shared" si="133"/>
        <v>7.0076708987576675E-2</v>
      </c>
      <c r="AE176">
        <f t="shared" si="134"/>
        <v>0.12723079740678866</v>
      </c>
      <c r="AF176">
        <f>COUNT(X167:X176)</f>
        <v>10</v>
      </c>
      <c r="AI176">
        <f t="shared" si="135"/>
        <v>0.14899346971881577</v>
      </c>
      <c r="AJ176">
        <f t="shared" si="136"/>
        <v>0.39193221643352205</v>
      </c>
      <c r="AK176">
        <f t="shared" si="137"/>
        <v>2.7012824804070967E-2</v>
      </c>
      <c r="AL176">
        <f t="shared" si="138"/>
        <v>0.30557419897501376</v>
      </c>
      <c r="AM176">
        <f t="shared" si="139"/>
        <v>9.7951442416181811E-2</v>
      </c>
      <c r="AN176">
        <f t="shared" si="140"/>
        <v>0.56389083102814697</v>
      </c>
      <c r="AO176">
        <f t="shared" si="141"/>
        <v>0.14015341797515335</v>
      </c>
      <c r="AP176">
        <f t="shared" si="142"/>
        <v>0.25446159481357744</v>
      </c>
    </row>
    <row r="177" spans="1:42" s="10" customFormat="1" x14ac:dyDescent="0.25">
      <c r="A177" s="10" t="s">
        <v>13</v>
      </c>
      <c r="M177" s="10">
        <f>AVERAGE(M167:M176)</f>
        <v>0.8708040405176789</v>
      </c>
      <c r="N177" s="10">
        <f t="shared" ref="N177" si="175">AVERAGE(N167:N176)</f>
        <v>0.79408026527543618</v>
      </c>
      <c r="O177" s="10">
        <f t="shared" ref="O177" si="176">AVERAGE(O167:O176)</f>
        <v>0.68855113325270412</v>
      </c>
      <c r="P177" s="10">
        <f t="shared" ref="P177" si="177">AVERAGE(P167:P176)</f>
        <v>0.78755212949497955</v>
      </c>
      <c r="Q177" s="10">
        <f t="shared" ref="Q177" si="178">AVERAGE(Q167:Q176)</f>
        <v>0.74316713498381215</v>
      </c>
      <c r="R177" s="10">
        <f t="shared" ref="R177" si="179">AVERAGE(R167:R176)</f>
        <v>0.77185639248974769</v>
      </c>
      <c r="S177" s="10">
        <f t="shared" ref="S177" si="180">AVERAGE(S167:S176)</f>
        <v>0.60359581616036695</v>
      </c>
      <c r="T177" s="10">
        <f t="shared" ref="T177" si="181">AVERAGE(T167:T176)</f>
        <v>0.81641868073247648</v>
      </c>
      <c r="U177" s="10">
        <f t="shared" ref="U177" si="182">AVERAGE(U167:U176)</f>
        <v>0.75428433089093416</v>
      </c>
      <c r="X177" s="10">
        <f>((M177-N177)/N177)*100</f>
        <v>9.661967259144788</v>
      </c>
      <c r="Y177" s="10">
        <f>((M177-O177)/O177)*100</f>
        <v>26.469044703189297</v>
      </c>
      <c r="Z177" s="10">
        <f>((M177-P177)/P177)*100</f>
        <v>10.57097148300328</v>
      </c>
      <c r="AA177" s="10">
        <f>((M177-Q177)/Q177)*100</f>
        <v>17.174724167080797</v>
      </c>
      <c r="AB177" s="10">
        <f>((M177-R177)/R177)*100</f>
        <v>12.81943752629418</v>
      </c>
      <c r="AC177" s="10">
        <f>((M177-S177)/S177)*100</f>
        <v>44.269396374728757</v>
      </c>
      <c r="AD177" s="10">
        <f>((M177-T177)/T177)*100</f>
        <v>6.6614546027301627</v>
      </c>
      <c r="AE177" s="10">
        <f>((M177-U177)/U177)*100</f>
        <v>15.447717108098447</v>
      </c>
      <c r="AI177" s="10">
        <f t="shared" si="135"/>
        <v>0</v>
      </c>
      <c r="AJ177" s="10">
        <f t="shared" si="136"/>
        <v>0</v>
      </c>
      <c r="AK177" s="10">
        <f t="shared" si="137"/>
        <v>0</v>
      </c>
      <c r="AL177" s="10">
        <f t="shared" si="138"/>
        <v>0</v>
      </c>
      <c r="AM177" s="10">
        <f t="shared" si="139"/>
        <v>0</v>
      </c>
      <c r="AN177" s="10">
        <f t="shared" si="140"/>
        <v>0</v>
      </c>
      <c r="AO177" s="10">
        <f t="shared" si="141"/>
        <v>0</v>
      </c>
      <c r="AP177" s="10">
        <f t="shared" si="142"/>
        <v>0</v>
      </c>
    </row>
    <row r="178" spans="1:42" x14ac:dyDescent="0.25">
      <c r="A178">
        <v>0.33329999999999999</v>
      </c>
      <c r="B178">
        <v>0.67059594757301255</v>
      </c>
      <c r="C178">
        <v>0.58185230002531241</v>
      </c>
      <c r="D178">
        <v>0.59027146704150502</v>
      </c>
      <c r="E178">
        <v>0.32417570885841701</v>
      </c>
      <c r="F178">
        <v>0.70969499069182673</v>
      </c>
      <c r="G178">
        <v>0.40205706580090472</v>
      </c>
      <c r="H178">
        <v>0.42511769551018352</v>
      </c>
      <c r="I178">
        <v>0.69883734379857987</v>
      </c>
      <c r="J178">
        <v>0.58435920351529647</v>
      </c>
      <c r="M178">
        <f t="shared" si="118"/>
        <v>0.83529797378650628</v>
      </c>
      <c r="N178">
        <f t="shared" si="119"/>
        <v>0.7909261500126562</v>
      </c>
      <c r="O178">
        <f t="shared" si="120"/>
        <v>0.79513573352075251</v>
      </c>
      <c r="P178">
        <f t="shared" si="121"/>
        <v>0.66208785442920848</v>
      </c>
      <c r="Q178">
        <f t="shared" si="122"/>
        <v>0.85484749534591331</v>
      </c>
      <c r="R178">
        <f t="shared" si="123"/>
        <v>0.70102853290045242</v>
      </c>
      <c r="S178">
        <f t="shared" si="124"/>
        <v>0.71255884775509171</v>
      </c>
      <c r="T178">
        <f t="shared" si="125"/>
        <v>0.84941867189928999</v>
      </c>
      <c r="U178">
        <f t="shared" si="126"/>
        <v>0.79217960175764823</v>
      </c>
      <c r="X178" s="8">
        <f t="shared" si="127"/>
        <v>4.4371823773850072E-2</v>
      </c>
      <c r="Y178" s="8">
        <f t="shared" si="128"/>
        <v>4.0162240265753768E-2</v>
      </c>
      <c r="Z178" s="8">
        <f t="shared" si="129"/>
        <v>0.1732101193572978</v>
      </c>
      <c r="AA178" s="8">
        <f t="shared" si="130"/>
        <v>-1.9549521559407035E-2</v>
      </c>
      <c r="AB178" s="8">
        <f t="shared" si="131"/>
        <v>0.13426944088605386</v>
      </c>
      <c r="AC178" s="8">
        <f t="shared" si="132"/>
        <v>0.12273912603141457</v>
      </c>
      <c r="AD178" s="8">
        <f t="shared" si="133"/>
        <v>-1.4120698112783714E-2</v>
      </c>
      <c r="AE178" s="8">
        <f t="shared" si="134"/>
        <v>4.3118372028858043E-2</v>
      </c>
      <c r="AI178">
        <f t="shared" si="135"/>
        <v>8.8743647547700144E-2</v>
      </c>
      <c r="AJ178">
        <f t="shared" si="136"/>
        <v>8.0324480531507536E-2</v>
      </c>
      <c r="AK178">
        <f t="shared" si="137"/>
        <v>0.34642023871459554</v>
      </c>
      <c r="AL178">
        <f t="shared" si="138"/>
        <v>-3.9099043118814181E-2</v>
      </c>
      <c r="AM178">
        <f t="shared" si="139"/>
        <v>0.26853888177210783</v>
      </c>
      <c r="AN178">
        <f t="shared" si="140"/>
        <v>0.24547825206282903</v>
      </c>
      <c r="AO178">
        <f t="shared" si="141"/>
        <v>-2.8241396225567317E-2</v>
      </c>
      <c r="AP178">
        <f t="shared" si="142"/>
        <v>8.6236744057716086E-2</v>
      </c>
    </row>
    <row r="179" spans="1:42" x14ac:dyDescent="0.25">
      <c r="A179">
        <v>0.40739999999999998</v>
      </c>
      <c r="B179">
        <v>0.73445973206103754</v>
      </c>
      <c r="C179">
        <v>0.62887919394837855</v>
      </c>
      <c r="D179">
        <v>0.62566388160697328</v>
      </c>
      <c r="E179">
        <v>0.39423920158875853</v>
      </c>
      <c r="F179">
        <v>0.69091821463006609</v>
      </c>
      <c r="G179">
        <v>0.4714127847639209</v>
      </c>
      <c r="H179">
        <v>0.37632952669051861</v>
      </c>
      <c r="I179">
        <v>0.74965642417871925</v>
      </c>
      <c r="J179">
        <v>0.62737769169462199</v>
      </c>
      <c r="M179">
        <f t="shared" si="118"/>
        <v>0.86722986603051877</v>
      </c>
      <c r="N179">
        <f t="shared" si="119"/>
        <v>0.81443959697418933</v>
      </c>
      <c r="O179">
        <f t="shared" si="120"/>
        <v>0.81283194080348664</v>
      </c>
      <c r="P179">
        <f t="shared" si="121"/>
        <v>0.69711960079437929</v>
      </c>
      <c r="Q179">
        <f t="shared" si="122"/>
        <v>0.84545910731503304</v>
      </c>
      <c r="R179">
        <f t="shared" si="123"/>
        <v>0.73570639238196045</v>
      </c>
      <c r="S179">
        <f t="shared" si="124"/>
        <v>0.68816476334525933</v>
      </c>
      <c r="T179">
        <f t="shared" si="125"/>
        <v>0.87482821208935957</v>
      </c>
      <c r="U179">
        <f t="shared" si="126"/>
        <v>0.81368884584731105</v>
      </c>
      <c r="X179" s="8">
        <f t="shared" si="127"/>
        <v>5.2790269056329442E-2</v>
      </c>
      <c r="Y179" s="8">
        <f t="shared" si="128"/>
        <v>5.4397925227032129E-2</v>
      </c>
      <c r="Z179" s="8">
        <f t="shared" si="129"/>
        <v>0.17011026523613948</v>
      </c>
      <c r="AA179" s="8">
        <f t="shared" si="130"/>
        <v>2.1770758715485727E-2</v>
      </c>
      <c r="AB179" s="8">
        <f t="shared" si="131"/>
        <v>0.13152347364855832</v>
      </c>
      <c r="AC179" s="8">
        <f t="shared" si="132"/>
        <v>0.17906510268525944</v>
      </c>
      <c r="AD179" s="8">
        <f t="shared" si="133"/>
        <v>-7.5983460588407992E-3</v>
      </c>
      <c r="AE179" s="8">
        <f t="shared" si="134"/>
        <v>5.3541020183207721E-2</v>
      </c>
      <c r="AI179">
        <f t="shared" si="135"/>
        <v>0.10558053811265899</v>
      </c>
      <c r="AJ179">
        <f t="shared" si="136"/>
        <v>0.10879585045406426</v>
      </c>
      <c r="AK179">
        <f t="shared" si="137"/>
        <v>0.34022053047227901</v>
      </c>
      <c r="AL179">
        <f t="shared" si="138"/>
        <v>4.3541517430971455E-2</v>
      </c>
      <c r="AM179">
        <f t="shared" si="139"/>
        <v>0.26304694729711664</v>
      </c>
      <c r="AN179">
        <f t="shared" si="140"/>
        <v>0.35813020537051893</v>
      </c>
      <c r="AO179">
        <f t="shared" si="141"/>
        <v>-1.5196692117681709E-2</v>
      </c>
      <c r="AP179">
        <f t="shared" si="142"/>
        <v>0.10708204036641555</v>
      </c>
    </row>
    <row r="180" spans="1:42" x14ac:dyDescent="0.25">
      <c r="A180">
        <v>0.48149999999999998</v>
      </c>
      <c r="B180">
        <v>0.7489376089647799</v>
      </c>
      <c r="C180">
        <v>0.62689192997264775</v>
      </c>
      <c r="D180">
        <v>0.62702372376123383</v>
      </c>
      <c r="E180">
        <v>0.42689034888368971</v>
      </c>
      <c r="F180">
        <v>0.63620717411573768</v>
      </c>
      <c r="G180">
        <v>0.51000514608376479</v>
      </c>
      <c r="H180">
        <v>0.31940979477634501</v>
      </c>
      <c r="I180">
        <v>0.74812427265156478</v>
      </c>
      <c r="J180">
        <v>0.62539099159282496</v>
      </c>
      <c r="M180">
        <f t="shared" si="118"/>
        <v>0.87446880448238995</v>
      </c>
      <c r="N180">
        <f t="shared" si="119"/>
        <v>0.81344596498632393</v>
      </c>
      <c r="O180">
        <f t="shared" si="120"/>
        <v>0.81351186188061697</v>
      </c>
      <c r="P180">
        <f t="shared" si="121"/>
        <v>0.71344517444184485</v>
      </c>
      <c r="Q180">
        <f t="shared" si="122"/>
        <v>0.81810358705786879</v>
      </c>
      <c r="R180">
        <f t="shared" si="123"/>
        <v>0.75500257304188234</v>
      </c>
      <c r="S180">
        <f t="shared" si="124"/>
        <v>0.65970489738817251</v>
      </c>
      <c r="T180">
        <f t="shared" si="125"/>
        <v>0.87406213632578234</v>
      </c>
      <c r="U180">
        <f t="shared" si="126"/>
        <v>0.81269549579641254</v>
      </c>
      <c r="X180" s="8">
        <f t="shared" si="127"/>
        <v>6.1022839496066017E-2</v>
      </c>
      <c r="Y180" s="8">
        <f t="shared" si="128"/>
        <v>6.0956942601772979E-2</v>
      </c>
      <c r="Z180" s="8">
        <f t="shared" si="129"/>
        <v>0.1610236300405451</v>
      </c>
      <c r="AA180" s="8">
        <f t="shared" si="130"/>
        <v>5.6365217424521163E-2</v>
      </c>
      <c r="AB180" s="8">
        <f t="shared" si="131"/>
        <v>0.11946623144050761</v>
      </c>
      <c r="AC180" s="8">
        <f t="shared" si="132"/>
        <v>0.21476390709421744</v>
      </c>
      <c r="AD180" s="8">
        <f t="shared" si="133"/>
        <v>4.0666815660761468E-4</v>
      </c>
      <c r="AE180" s="8">
        <f t="shared" si="134"/>
        <v>6.1773308685977413E-2</v>
      </c>
      <c r="AI180">
        <f t="shared" si="135"/>
        <v>0.12204567899213214</v>
      </c>
      <c r="AJ180">
        <f t="shared" si="136"/>
        <v>0.12191388520354607</v>
      </c>
      <c r="AK180">
        <f t="shared" si="137"/>
        <v>0.32204726008109019</v>
      </c>
      <c r="AL180">
        <f t="shared" si="138"/>
        <v>0.11273043484904222</v>
      </c>
      <c r="AM180">
        <f t="shared" si="139"/>
        <v>0.23893246288101511</v>
      </c>
      <c r="AN180">
        <f t="shared" si="140"/>
        <v>0.42952781418843489</v>
      </c>
      <c r="AO180">
        <f t="shared" si="141"/>
        <v>8.1333631321511834E-4</v>
      </c>
      <c r="AP180">
        <f t="shared" si="142"/>
        <v>0.12354661737195494</v>
      </c>
    </row>
    <row r="181" spans="1:42" x14ac:dyDescent="0.25">
      <c r="A181">
        <v>0.55559999999999998</v>
      </c>
      <c r="B181">
        <v>0.77409705850344623</v>
      </c>
      <c r="C181">
        <v>0.63856936454337787</v>
      </c>
      <c r="D181">
        <v>0.61551726485314029</v>
      </c>
      <c r="E181">
        <v>0.4496182567603591</v>
      </c>
      <c r="F181">
        <v>0.61172129213063631</v>
      </c>
      <c r="G181">
        <v>0.53320005420003813</v>
      </c>
      <c r="H181">
        <v>0.27910471880264659</v>
      </c>
      <c r="I181">
        <v>0.74728037614902165</v>
      </c>
      <c r="J181">
        <v>0.6370686139804087</v>
      </c>
      <c r="M181">
        <f t="shared" si="118"/>
        <v>0.88704852925172317</v>
      </c>
      <c r="N181">
        <f t="shared" si="119"/>
        <v>0.81928468227168894</v>
      </c>
      <c r="O181">
        <f t="shared" si="120"/>
        <v>0.8077586324265702</v>
      </c>
      <c r="P181">
        <f t="shared" si="121"/>
        <v>0.72480912838017952</v>
      </c>
      <c r="Q181">
        <f t="shared" si="122"/>
        <v>0.80586064606531815</v>
      </c>
      <c r="R181">
        <f t="shared" si="123"/>
        <v>0.76660002710001907</v>
      </c>
      <c r="S181">
        <f t="shared" si="124"/>
        <v>0.63955235940132327</v>
      </c>
      <c r="T181">
        <f t="shared" si="125"/>
        <v>0.87364018807451083</v>
      </c>
      <c r="U181">
        <f t="shared" si="126"/>
        <v>0.81853430699020435</v>
      </c>
      <c r="X181" s="8">
        <f t="shared" si="127"/>
        <v>6.7763846980034237E-2</v>
      </c>
      <c r="Y181" s="8">
        <f t="shared" si="128"/>
        <v>7.9289896825152972E-2</v>
      </c>
      <c r="Z181" s="8">
        <f t="shared" si="129"/>
        <v>0.16223940087154365</v>
      </c>
      <c r="AA181" s="8">
        <f t="shared" si="130"/>
        <v>8.1187883186405019E-2</v>
      </c>
      <c r="AB181" s="8">
        <f t="shared" si="131"/>
        <v>0.12044850215170411</v>
      </c>
      <c r="AC181" s="8">
        <f t="shared" si="132"/>
        <v>0.24749616985039991</v>
      </c>
      <c r="AD181" s="8">
        <f t="shared" si="133"/>
        <v>1.3408341177212346E-2</v>
      </c>
      <c r="AE181" s="8">
        <f t="shared" si="134"/>
        <v>6.851422226151882E-2</v>
      </c>
      <c r="AI181">
        <f t="shared" si="135"/>
        <v>0.13552769396006836</v>
      </c>
      <c r="AJ181">
        <f t="shared" si="136"/>
        <v>0.15857979365030594</v>
      </c>
      <c r="AK181">
        <f t="shared" si="137"/>
        <v>0.32447880174308713</v>
      </c>
      <c r="AL181">
        <f t="shared" si="138"/>
        <v>0.16237576637280993</v>
      </c>
      <c r="AM181">
        <f t="shared" si="139"/>
        <v>0.2408970043034081</v>
      </c>
      <c r="AN181">
        <f t="shared" si="140"/>
        <v>0.49499233970079964</v>
      </c>
      <c r="AO181">
        <f t="shared" si="141"/>
        <v>2.6816682354424581E-2</v>
      </c>
      <c r="AP181">
        <f t="shared" si="142"/>
        <v>0.13702844452303753</v>
      </c>
    </row>
    <row r="182" spans="1:42" x14ac:dyDescent="0.25">
      <c r="A182">
        <v>0.62960000000000005</v>
      </c>
      <c r="B182">
        <v>0.79235384782477136</v>
      </c>
      <c r="C182">
        <v>0.66391701555925853</v>
      </c>
      <c r="D182">
        <v>0.64169266952995507</v>
      </c>
      <c r="E182">
        <v>0.52814637405199572</v>
      </c>
      <c r="F182">
        <v>0.5863225150788135</v>
      </c>
      <c r="G182">
        <v>0.58610347413146713</v>
      </c>
      <c r="H182">
        <v>0.27418145463634092</v>
      </c>
      <c r="I182">
        <v>0.73256685828542856</v>
      </c>
      <c r="J182">
        <v>0.66341707804754213</v>
      </c>
      <c r="M182">
        <f t="shared" si="118"/>
        <v>0.89617692391238568</v>
      </c>
      <c r="N182">
        <f t="shared" si="119"/>
        <v>0.83195850777962921</v>
      </c>
      <c r="O182">
        <f t="shared" si="120"/>
        <v>0.82084633476497748</v>
      </c>
      <c r="P182">
        <f t="shared" si="121"/>
        <v>0.7640731870259978</v>
      </c>
      <c r="Q182">
        <f t="shared" si="122"/>
        <v>0.79316125753940669</v>
      </c>
      <c r="R182">
        <f t="shared" si="123"/>
        <v>0.79305173706573351</v>
      </c>
      <c r="S182">
        <f t="shared" si="124"/>
        <v>0.63709072731817051</v>
      </c>
      <c r="T182">
        <f t="shared" si="125"/>
        <v>0.86628342914271428</v>
      </c>
      <c r="U182">
        <f t="shared" si="126"/>
        <v>0.83170853902377107</v>
      </c>
      <c r="X182" s="8">
        <f t="shared" si="127"/>
        <v>6.4218416132756473E-2</v>
      </c>
      <c r="Y182" s="8">
        <f t="shared" si="128"/>
        <v>7.53305891474082E-2</v>
      </c>
      <c r="Z182" s="8">
        <f t="shared" si="129"/>
        <v>0.13210373688638788</v>
      </c>
      <c r="AA182" s="8">
        <f t="shared" si="130"/>
        <v>0.10301566637297899</v>
      </c>
      <c r="AB182" s="8">
        <f t="shared" si="131"/>
        <v>0.10312518684665217</v>
      </c>
      <c r="AC182" s="8">
        <f t="shared" si="132"/>
        <v>0.25908619659421517</v>
      </c>
      <c r="AD182" s="8">
        <f t="shared" si="133"/>
        <v>2.9893494769671403E-2</v>
      </c>
      <c r="AE182" s="8">
        <f t="shared" si="134"/>
        <v>6.4468384888614616E-2</v>
      </c>
      <c r="AI182">
        <f t="shared" si="135"/>
        <v>0.12843683226551283</v>
      </c>
      <c r="AJ182">
        <f t="shared" si="136"/>
        <v>0.15066117829481629</v>
      </c>
      <c r="AK182">
        <f t="shared" si="137"/>
        <v>0.26420747377277565</v>
      </c>
      <c r="AL182">
        <f t="shared" si="138"/>
        <v>0.20603133274595786</v>
      </c>
      <c r="AM182">
        <f t="shared" si="139"/>
        <v>0.20625037369330423</v>
      </c>
      <c r="AN182">
        <f t="shared" si="140"/>
        <v>0.51817239318843045</v>
      </c>
      <c r="AO182">
        <f t="shared" si="141"/>
        <v>5.9786989539342805E-2</v>
      </c>
      <c r="AP182">
        <f t="shared" si="142"/>
        <v>0.12893676977722923</v>
      </c>
    </row>
    <row r="183" spans="1:42" x14ac:dyDescent="0.25">
      <c r="A183">
        <v>0.70369999999999999</v>
      </c>
      <c r="B183">
        <v>0.72822696607198922</v>
      </c>
      <c r="C183">
        <v>0.59975000000000001</v>
      </c>
      <c r="D183">
        <v>0.56447324574285129</v>
      </c>
      <c r="E183">
        <v>0.56799721519019064</v>
      </c>
      <c r="F183">
        <v>0.4960126613811297</v>
      </c>
      <c r="G183">
        <v>0.63242095232113105</v>
      </c>
      <c r="H183">
        <v>0.17447819158899189</v>
      </c>
      <c r="I183">
        <v>0.67591551584044995</v>
      </c>
      <c r="J183">
        <v>0.59925000000000006</v>
      </c>
      <c r="M183">
        <f t="shared" si="118"/>
        <v>0.86411348303599467</v>
      </c>
      <c r="N183">
        <f t="shared" si="119"/>
        <v>0.799875</v>
      </c>
      <c r="O183">
        <f t="shared" si="120"/>
        <v>0.7822366228714257</v>
      </c>
      <c r="P183">
        <f t="shared" si="121"/>
        <v>0.78399860759509532</v>
      </c>
      <c r="Q183">
        <f t="shared" si="122"/>
        <v>0.74800633069056488</v>
      </c>
      <c r="R183">
        <f t="shared" si="123"/>
        <v>0.81621047616056552</v>
      </c>
      <c r="S183">
        <f t="shared" si="124"/>
        <v>0.58723909579449596</v>
      </c>
      <c r="T183">
        <f t="shared" si="125"/>
        <v>0.83795775792022498</v>
      </c>
      <c r="U183">
        <f t="shared" si="126"/>
        <v>0.79962500000000003</v>
      </c>
      <c r="X183" s="8">
        <f t="shared" si="127"/>
        <v>6.4238483035994665E-2</v>
      </c>
      <c r="Y183" s="8">
        <f t="shared" si="128"/>
        <v>8.1876860164568965E-2</v>
      </c>
      <c r="Z183" s="8">
        <f t="shared" si="129"/>
        <v>8.0114875440899347E-2</v>
      </c>
      <c r="AA183" s="8">
        <f t="shared" si="130"/>
        <v>0.11610715234542979</v>
      </c>
      <c r="AB183" s="8">
        <f t="shared" si="131"/>
        <v>4.7903006875429144E-2</v>
      </c>
      <c r="AC183" s="8">
        <f t="shared" si="132"/>
        <v>0.27687438724149871</v>
      </c>
      <c r="AD183" s="8">
        <f t="shared" si="133"/>
        <v>2.615572511576969E-2</v>
      </c>
      <c r="AE183" s="8">
        <f t="shared" si="134"/>
        <v>6.4488483035994637E-2</v>
      </c>
      <c r="AI183">
        <f t="shared" si="135"/>
        <v>0.12847696607198922</v>
      </c>
      <c r="AJ183">
        <f t="shared" si="136"/>
        <v>0.16375372032913793</v>
      </c>
      <c r="AK183">
        <f t="shared" si="137"/>
        <v>0.16022975088179858</v>
      </c>
      <c r="AL183">
        <f t="shared" si="138"/>
        <v>0.23221430469085952</v>
      </c>
      <c r="AM183">
        <f t="shared" si="139"/>
        <v>9.5806013750858177E-2</v>
      </c>
      <c r="AN183">
        <f t="shared" si="140"/>
        <v>0.55374877448299731</v>
      </c>
      <c r="AO183">
        <f t="shared" si="141"/>
        <v>5.2311450231539269E-2</v>
      </c>
      <c r="AP183">
        <f t="shared" si="142"/>
        <v>0.12897696607198916</v>
      </c>
    </row>
    <row r="184" spans="1:42" x14ac:dyDescent="0.25">
      <c r="A184">
        <v>0.77780000000000005</v>
      </c>
      <c r="B184">
        <v>0.67141620409408842</v>
      </c>
      <c r="C184">
        <v>0.5686421783190917</v>
      </c>
      <c r="D184">
        <v>0.52794769250375639</v>
      </c>
      <c r="E184">
        <v>0.61844587253286287</v>
      </c>
      <c r="F184">
        <v>0.41980798628750038</v>
      </c>
      <c r="G184">
        <v>0.70183777907652445</v>
      </c>
      <c r="H184">
        <v>0.1202650415873916</v>
      </c>
      <c r="I184">
        <v>0.6168271467694284</v>
      </c>
      <c r="J184">
        <v>0.56914230336598637</v>
      </c>
      <c r="M184">
        <f t="shared" si="118"/>
        <v>0.83570810204704427</v>
      </c>
      <c r="N184">
        <f t="shared" si="119"/>
        <v>0.78432108915954579</v>
      </c>
      <c r="O184">
        <f t="shared" si="120"/>
        <v>0.76397384625187814</v>
      </c>
      <c r="P184">
        <f t="shared" si="121"/>
        <v>0.80922293626643138</v>
      </c>
      <c r="Q184">
        <f t="shared" si="122"/>
        <v>0.70990399314375019</v>
      </c>
      <c r="R184">
        <f t="shared" si="123"/>
        <v>0.85091888953826222</v>
      </c>
      <c r="S184">
        <f t="shared" si="124"/>
        <v>0.5601325207936958</v>
      </c>
      <c r="T184">
        <f t="shared" si="125"/>
        <v>0.8084135733847142</v>
      </c>
      <c r="U184">
        <f t="shared" si="126"/>
        <v>0.78457115168299318</v>
      </c>
      <c r="X184" s="8">
        <f t="shared" si="127"/>
        <v>5.1387012887498473E-2</v>
      </c>
      <c r="Y184" s="8">
        <f t="shared" si="128"/>
        <v>7.1734255795166124E-2</v>
      </c>
      <c r="Z184" s="8">
        <f t="shared" si="129"/>
        <v>2.6485165780612885E-2</v>
      </c>
      <c r="AA184" s="8">
        <f t="shared" si="130"/>
        <v>0.12580410890329408</v>
      </c>
      <c r="AB184" s="8">
        <f t="shared" si="131"/>
        <v>-1.5210787491217959E-2</v>
      </c>
      <c r="AC184" s="8">
        <f t="shared" si="132"/>
        <v>0.27557558125334847</v>
      </c>
      <c r="AD184" s="8">
        <f t="shared" si="133"/>
        <v>2.7294528662330064E-2</v>
      </c>
      <c r="AE184" s="8">
        <f t="shared" si="134"/>
        <v>5.1136950364051081E-2</v>
      </c>
      <c r="AI184">
        <f t="shared" si="135"/>
        <v>0.10277402577499672</v>
      </c>
      <c r="AJ184">
        <f t="shared" si="136"/>
        <v>0.14346851159033203</v>
      </c>
      <c r="AK184">
        <f t="shared" si="137"/>
        <v>5.2970331561225548E-2</v>
      </c>
      <c r="AL184">
        <f t="shared" si="138"/>
        <v>0.25160821780658804</v>
      </c>
      <c r="AM184">
        <f t="shared" si="139"/>
        <v>-3.0421574982436028E-2</v>
      </c>
      <c r="AN184">
        <f t="shared" si="140"/>
        <v>0.55115116250669682</v>
      </c>
      <c r="AO184">
        <f t="shared" si="141"/>
        <v>5.4589057324660017E-2</v>
      </c>
      <c r="AP184">
        <f t="shared" si="142"/>
        <v>0.10227390072810205</v>
      </c>
    </row>
    <row r="185" spans="1:42" x14ac:dyDescent="0.25">
      <c r="A185">
        <v>0.85189999999999999</v>
      </c>
      <c r="B185">
        <v>0.59380464651511355</v>
      </c>
      <c r="C185">
        <v>0.51930529701358741</v>
      </c>
      <c r="D185">
        <v>0.46920018889690368</v>
      </c>
      <c r="E185">
        <v>0.63106602628029962</v>
      </c>
      <c r="F185">
        <v>0.36264756808745419</v>
      </c>
      <c r="G185">
        <v>0.67191406395484399</v>
      </c>
      <c r="H185">
        <v>0.10169915359971041</v>
      </c>
      <c r="I185">
        <v>0.54747627896060358</v>
      </c>
      <c r="J185">
        <v>0.51880548440818453</v>
      </c>
      <c r="M185">
        <f t="shared" si="118"/>
        <v>0.79690232325755672</v>
      </c>
      <c r="N185">
        <f t="shared" si="119"/>
        <v>0.7596526485067937</v>
      </c>
      <c r="O185">
        <f t="shared" si="120"/>
        <v>0.73460009444845187</v>
      </c>
      <c r="P185">
        <f t="shared" si="121"/>
        <v>0.81553301314014981</v>
      </c>
      <c r="Q185">
        <f t="shared" si="122"/>
        <v>0.68132378404372707</v>
      </c>
      <c r="R185">
        <f t="shared" si="123"/>
        <v>0.83595703197742199</v>
      </c>
      <c r="S185">
        <f t="shared" si="124"/>
        <v>0.55084957679985525</v>
      </c>
      <c r="T185">
        <f t="shared" si="125"/>
        <v>0.77373813948030179</v>
      </c>
      <c r="U185">
        <f t="shared" si="126"/>
        <v>0.75940274220409232</v>
      </c>
      <c r="X185" s="8">
        <f t="shared" si="127"/>
        <v>3.7249674750763018E-2</v>
      </c>
      <c r="Y185" s="8">
        <f t="shared" si="128"/>
        <v>6.2302228809104854E-2</v>
      </c>
      <c r="Z185" s="8">
        <f t="shared" si="129"/>
        <v>-1.8630689882593088E-2</v>
      </c>
      <c r="AA185" s="8">
        <f t="shared" si="130"/>
        <v>0.11557853921382966</v>
      </c>
      <c r="AB185" s="8">
        <f t="shared" si="131"/>
        <v>-3.9054708719865272E-2</v>
      </c>
      <c r="AC185" s="8">
        <f t="shared" si="132"/>
        <v>0.24605274645770148</v>
      </c>
      <c r="AD185" s="8">
        <f t="shared" si="133"/>
        <v>2.3164183777254932E-2</v>
      </c>
      <c r="AE185" s="8">
        <f t="shared" si="134"/>
        <v>3.7499581053464404E-2</v>
      </c>
      <c r="AI185">
        <f t="shared" si="135"/>
        <v>7.4499349501526146E-2</v>
      </c>
      <c r="AJ185">
        <f t="shared" si="136"/>
        <v>0.12460445761820987</v>
      </c>
      <c r="AK185">
        <f t="shared" si="137"/>
        <v>-3.7261379765186065E-2</v>
      </c>
      <c r="AL185">
        <f t="shared" si="138"/>
        <v>0.23115707842765937</v>
      </c>
      <c r="AM185">
        <f t="shared" si="139"/>
        <v>-7.8109417439730433E-2</v>
      </c>
      <c r="AN185">
        <f t="shared" si="140"/>
        <v>0.49210549291540318</v>
      </c>
      <c r="AO185">
        <f t="shared" si="141"/>
        <v>4.6328367554509975E-2</v>
      </c>
      <c r="AP185">
        <f t="shared" si="142"/>
        <v>7.4999162106929029E-2</v>
      </c>
    </row>
    <row r="186" spans="1:42" x14ac:dyDescent="0.25">
      <c r="A186">
        <v>0.92589999999999995</v>
      </c>
      <c r="B186">
        <v>0.53203447398814585</v>
      </c>
      <c r="C186">
        <v>0.47251380213364469</v>
      </c>
      <c r="D186">
        <v>0.41683774888248898</v>
      </c>
      <c r="E186">
        <v>0.56321173701245575</v>
      </c>
      <c r="F186">
        <v>0.38135756992332198</v>
      </c>
      <c r="G186">
        <v>0.61511559597581733</v>
      </c>
      <c r="H186">
        <v>0.15290444546596271</v>
      </c>
      <c r="I186">
        <v>0.52167399041328455</v>
      </c>
      <c r="J186">
        <v>0.47501255307036422</v>
      </c>
      <c r="M186">
        <f t="shared" si="118"/>
        <v>0.76601723699407298</v>
      </c>
      <c r="N186">
        <f t="shared" si="119"/>
        <v>0.73625690106682229</v>
      </c>
      <c r="O186">
        <f t="shared" si="120"/>
        <v>0.70841887444124452</v>
      </c>
      <c r="P186">
        <f t="shared" si="121"/>
        <v>0.78160586850622793</v>
      </c>
      <c r="Q186">
        <f t="shared" si="122"/>
        <v>0.69067878496166102</v>
      </c>
      <c r="R186">
        <f t="shared" si="123"/>
        <v>0.80755779798790872</v>
      </c>
      <c r="S186">
        <f t="shared" si="124"/>
        <v>0.57645222273298136</v>
      </c>
      <c r="T186">
        <f t="shared" si="125"/>
        <v>0.76083699520664227</v>
      </c>
      <c r="U186">
        <f t="shared" si="126"/>
        <v>0.73750627653518208</v>
      </c>
      <c r="X186" s="8">
        <f t="shared" si="127"/>
        <v>2.9760335927250692E-2</v>
      </c>
      <c r="Y186" s="8">
        <f t="shared" si="128"/>
        <v>5.7598362552828464E-2</v>
      </c>
      <c r="Z186" s="8">
        <f t="shared" si="129"/>
        <v>-1.5588631512154949E-2</v>
      </c>
      <c r="AA186" s="8">
        <f t="shared" si="130"/>
        <v>7.5338452032411962E-2</v>
      </c>
      <c r="AB186" s="8">
        <f t="shared" si="131"/>
        <v>-4.154056099383574E-2</v>
      </c>
      <c r="AC186" s="8">
        <f t="shared" si="132"/>
        <v>0.18956501426109162</v>
      </c>
      <c r="AD186" s="8">
        <f t="shared" si="133"/>
        <v>5.1802417874307061E-3</v>
      </c>
      <c r="AE186" s="8">
        <f t="shared" si="134"/>
        <v>2.8510960458890899E-2</v>
      </c>
      <c r="AF186">
        <f>COUNT(X178:X186)</f>
        <v>9</v>
      </c>
      <c r="AI186">
        <f t="shared" si="135"/>
        <v>5.9520671854501161E-2</v>
      </c>
      <c r="AJ186">
        <f t="shared" si="136"/>
        <v>0.11519672510565687</v>
      </c>
      <c r="AK186">
        <f t="shared" si="137"/>
        <v>-3.1177263024309898E-2</v>
      </c>
      <c r="AL186">
        <f t="shared" si="138"/>
        <v>0.15067690406482387</v>
      </c>
      <c r="AM186">
        <f t="shared" si="139"/>
        <v>-8.308112198767148E-2</v>
      </c>
      <c r="AN186">
        <f t="shared" si="140"/>
        <v>0.37913002852218314</v>
      </c>
      <c r="AO186">
        <f t="shared" si="141"/>
        <v>1.0360483574861301E-2</v>
      </c>
      <c r="AP186">
        <f t="shared" si="142"/>
        <v>5.7021920917781632E-2</v>
      </c>
    </row>
    <row r="187" spans="1:42" s="10" customFormat="1" x14ac:dyDescent="0.25">
      <c r="A187" s="10" t="s">
        <v>25</v>
      </c>
      <c r="M187" s="10">
        <f>AVERAGE(M178:M186)</f>
        <v>0.84699591586646583</v>
      </c>
      <c r="N187" s="10">
        <f t="shared" ref="N187:U187" si="183">AVERAGE(N178:N186)</f>
        <v>0.79446228230640559</v>
      </c>
      <c r="O187" s="10">
        <f t="shared" si="183"/>
        <v>0.78214599348993386</v>
      </c>
      <c r="P187" s="10">
        <f t="shared" si="183"/>
        <v>0.75021059673105706</v>
      </c>
      <c r="Q187" s="10">
        <f t="shared" si="183"/>
        <v>0.77192722068480479</v>
      </c>
      <c r="R187" s="10">
        <f t="shared" si="183"/>
        <v>0.78467038423935631</v>
      </c>
      <c r="S187" s="10">
        <f t="shared" si="183"/>
        <v>0.62352722348100498</v>
      </c>
      <c r="T187" s="10">
        <f t="shared" si="183"/>
        <v>0.835464344835949</v>
      </c>
      <c r="U187" s="10">
        <f t="shared" si="183"/>
        <v>0.79443466220417946</v>
      </c>
      <c r="X187" s="10">
        <f>((M187-N187)/N187)*100</f>
        <v>6.6124767317524134</v>
      </c>
      <c r="Y187" s="10">
        <f>((M187-O187)/O187)*100</f>
        <v>8.2912810288999559</v>
      </c>
      <c r="Z187" s="10">
        <f>((M187-P187)/P187)*100</f>
        <v>12.901086649153976</v>
      </c>
      <c r="AA187" s="10">
        <f>((M187-Q187)/Q187)*100</f>
        <v>9.7248410433129777</v>
      </c>
      <c r="AB187" s="10">
        <f>((M187-R187)/R187)*100</f>
        <v>7.9428933318958688</v>
      </c>
      <c r="AC187" s="10">
        <f>((M187-S187)/S187)*100</f>
        <v>35.839444369066683</v>
      </c>
      <c r="AD187" s="10">
        <f>((M187-T187)/T187)*100</f>
        <v>1.3802589065343247</v>
      </c>
      <c r="AE187" s="10">
        <f>((M187-U187)/U187)*100</f>
        <v>6.6161833267010044</v>
      </c>
      <c r="AI187" s="10">
        <f t="shared" si="135"/>
        <v>0</v>
      </c>
      <c r="AJ187" s="10">
        <f t="shared" si="136"/>
        <v>0</v>
      </c>
      <c r="AK187" s="10">
        <f t="shared" si="137"/>
        <v>0</v>
      </c>
      <c r="AL187" s="10">
        <f t="shared" si="138"/>
        <v>0</v>
      </c>
      <c r="AM187" s="10">
        <f t="shared" si="139"/>
        <v>0</v>
      </c>
      <c r="AN187" s="10">
        <f t="shared" si="140"/>
        <v>0</v>
      </c>
      <c r="AO187" s="10">
        <f t="shared" si="141"/>
        <v>0</v>
      </c>
      <c r="AP187" s="10">
        <f t="shared" si="142"/>
        <v>0</v>
      </c>
    </row>
    <row r="188" spans="1:42" x14ac:dyDescent="0.25">
      <c r="A188">
        <v>0.1389</v>
      </c>
      <c r="B188">
        <v>0.75997482438436426</v>
      </c>
      <c r="C188">
        <v>0.49555261961013242</v>
      </c>
      <c r="D188">
        <v>0.2171846152882875</v>
      </c>
      <c r="E188">
        <v>-5.5027425527002703E-2</v>
      </c>
      <c r="F188">
        <v>0.73926988639583713</v>
      </c>
      <c r="G188">
        <v>0.2559309570109301</v>
      </c>
      <c r="H188">
        <v>0.49617796043247231</v>
      </c>
      <c r="I188">
        <v>0.75204515252110038</v>
      </c>
      <c r="J188">
        <v>0.3987275878990687</v>
      </c>
      <c r="M188">
        <f t="shared" si="118"/>
        <v>0.87998741219218213</v>
      </c>
      <c r="N188">
        <f t="shared" si="119"/>
        <v>0.74777630980506626</v>
      </c>
      <c r="O188">
        <f t="shared" si="120"/>
        <v>0.60859230764414374</v>
      </c>
      <c r="P188">
        <f t="shared" si="121"/>
        <v>0.47248628723649866</v>
      </c>
      <c r="Q188">
        <f t="shared" si="122"/>
        <v>0.86963494319791856</v>
      </c>
      <c r="R188">
        <f t="shared" si="123"/>
        <v>0.62796547850546502</v>
      </c>
      <c r="S188">
        <f t="shared" si="124"/>
        <v>0.74808898021623615</v>
      </c>
      <c r="T188">
        <f t="shared" si="125"/>
        <v>0.87602257626055025</v>
      </c>
      <c r="U188">
        <f t="shared" si="126"/>
        <v>0.6993637939495343</v>
      </c>
      <c r="X188">
        <f t="shared" si="127"/>
        <v>0.13221110238711586</v>
      </c>
      <c r="Y188">
        <f t="shared" si="128"/>
        <v>0.27139510454803839</v>
      </c>
      <c r="Z188">
        <f t="shared" si="129"/>
        <v>0.40750112495568347</v>
      </c>
      <c r="AA188">
        <f t="shared" si="130"/>
        <v>1.0352468994263564E-2</v>
      </c>
      <c r="AB188">
        <f t="shared" si="131"/>
        <v>0.2520219336867171</v>
      </c>
      <c r="AC188">
        <f t="shared" si="132"/>
        <v>0.13189843197594597</v>
      </c>
      <c r="AD188">
        <f t="shared" si="133"/>
        <v>3.9648359316318826E-3</v>
      </c>
      <c r="AE188">
        <f t="shared" si="134"/>
        <v>0.18062361824264783</v>
      </c>
      <c r="AI188">
        <f t="shared" si="135"/>
        <v>0.26442220477423184</v>
      </c>
      <c r="AJ188">
        <f t="shared" si="136"/>
        <v>0.54279020909607678</v>
      </c>
      <c r="AK188">
        <f t="shared" si="137"/>
        <v>0.81500224991136694</v>
      </c>
      <c r="AL188">
        <f t="shared" si="138"/>
        <v>2.0704937988527128E-2</v>
      </c>
      <c r="AM188">
        <f t="shared" si="139"/>
        <v>0.50404386737343421</v>
      </c>
      <c r="AN188">
        <f t="shared" si="140"/>
        <v>0.26379686395189195</v>
      </c>
      <c r="AO188">
        <f t="shared" si="141"/>
        <v>7.9296718632638763E-3</v>
      </c>
      <c r="AP188">
        <f t="shared" si="142"/>
        <v>0.36124723648529555</v>
      </c>
    </row>
    <row r="189" spans="1:42" x14ac:dyDescent="0.25">
      <c r="A189">
        <v>0.16969999999999999</v>
      </c>
      <c r="B189">
        <v>0.77781153514255563</v>
      </c>
      <c r="C189">
        <v>0.4785762032290472</v>
      </c>
      <c r="D189">
        <v>0.20197542936952831</v>
      </c>
      <c r="E189">
        <v>-6.1391698810554403E-2</v>
      </c>
      <c r="F189">
        <v>0.71691124285581131</v>
      </c>
      <c r="G189">
        <v>0.27157285047567958</v>
      </c>
      <c r="H189">
        <v>0.46265375122255298</v>
      </c>
      <c r="I189">
        <v>0.75985859558020452</v>
      </c>
      <c r="J189">
        <v>0.38277625958760941</v>
      </c>
      <c r="M189">
        <f t="shared" si="118"/>
        <v>0.88890576757127782</v>
      </c>
      <c r="N189">
        <f t="shared" si="119"/>
        <v>0.73928810161452363</v>
      </c>
      <c r="O189">
        <f t="shared" si="120"/>
        <v>0.6009877146847642</v>
      </c>
      <c r="P189">
        <f t="shared" si="121"/>
        <v>0.4693041505947228</v>
      </c>
      <c r="Q189">
        <f t="shared" si="122"/>
        <v>0.85845562142790566</v>
      </c>
      <c r="R189">
        <f t="shared" si="123"/>
        <v>0.63578642523783979</v>
      </c>
      <c r="S189">
        <f t="shared" si="124"/>
        <v>0.73132687561127652</v>
      </c>
      <c r="T189">
        <f t="shared" si="125"/>
        <v>0.87992929779010232</v>
      </c>
      <c r="U189">
        <f t="shared" si="126"/>
        <v>0.69138812979380471</v>
      </c>
      <c r="X189">
        <f t="shared" si="127"/>
        <v>0.14961766595675419</v>
      </c>
      <c r="Y189">
        <f t="shared" si="128"/>
        <v>0.28791805288651362</v>
      </c>
      <c r="Z189">
        <f t="shared" si="129"/>
        <v>0.41960161697655501</v>
      </c>
      <c r="AA189">
        <f t="shared" si="130"/>
        <v>3.0450146143372159E-2</v>
      </c>
      <c r="AB189">
        <f t="shared" si="131"/>
        <v>0.25311934233343802</v>
      </c>
      <c r="AC189">
        <f t="shared" si="132"/>
        <v>0.1575788919600013</v>
      </c>
      <c r="AD189">
        <f t="shared" si="133"/>
        <v>8.9764697811755001E-3</v>
      </c>
      <c r="AE189">
        <f t="shared" si="134"/>
        <v>0.19751763777747311</v>
      </c>
      <c r="AI189">
        <f t="shared" si="135"/>
        <v>0.29923533191350843</v>
      </c>
      <c r="AJ189">
        <f t="shared" si="136"/>
        <v>0.57583610577302735</v>
      </c>
      <c r="AK189">
        <f t="shared" si="137"/>
        <v>0.83920323395311003</v>
      </c>
      <c r="AL189">
        <f t="shared" si="138"/>
        <v>6.0900292286744317E-2</v>
      </c>
      <c r="AM189">
        <f t="shared" si="139"/>
        <v>0.50623868466687605</v>
      </c>
      <c r="AN189">
        <f t="shared" si="140"/>
        <v>0.31515778392000265</v>
      </c>
      <c r="AO189">
        <f t="shared" si="141"/>
        <v>1.7952939562351111E-2</v>
      </c>
      <c r="AP189">
        <f t="shared" si="142"/>
        <v>0.39503527555494622</v>
      </c>
    </row>
    <row r="190" spans="1:42" x14ac:dyDescent="0.25">
      <c r="A190">
        <v>0.2006</v>
      </c>
      <c r="B190">
        <v>0.78102728294109747</v>
      </c>
      <c r="C190">
        <v>0.44173193332788868</v>
      </c>
      <c r="D190">
        <v>0.17407031056328709</v>
      </c>
      <c r="E190">
        <v>-8.0733411639425906E-2</v>
      </c>
      <c r="F190">
        <v>0.67411071164949166</v>
      </c>
      <c r="G190">
        <v>0.30045851190015133</v>
      </c>
      <c r="H190">
        <v>0.41065595930724091</v>
      </c>
      <c r="I190">
        <v>0.74484877923602932</v>
      </c>
      <c r="J190">
        <v>0.34845271667333882</v>
      </c>
      <c r="M190">
        <f t="shared" si="118"/>
        <v>0.89051364147054879</v>
      </c>
      <c r="N190">
        <f t="shared" si="119"/>
        <v>0.72086596666394431</v>
      </c>
      <c r="O190">
        <f t="shared" si="120"/>
        <v>0.58703515528164352</v>
      </c>
      <c r="P190">
        <f t="shared" si="121"/>
        <v>0.45963329418028703</v>
      </c>
      <c r="Q190">
        <f t="shared" si="122"/>
        <v>0.83705535582474577</v>
      </c>
      <c r="R190">
        <f t="shared" si="123"/>
        <v>0.65022925595007564</v>
      </c>
      <c r="S190">
        <f t="shared" si="124"/>
        <v>0.70532797965362048</v>
      </c>
      <c r="T190">
        <f t="shared" si="125"/>
        <v>0.87242438961801461</v>
      </c>
      <c r="U190">
        <f t="shared" si="126"/>
        <v>0.67422635833666944</v>
      </c>
      <c r="X190">
        <f t="shared" si="127"/>
        <v>0.16964767480660448</v>
      </c>
      <c r="Y190">
        <f t="shared" si="128"/>
        <v>0.30347848618890527</v>
      </c>
      <c r="Z190">
        <f t="shared" si="129"/>
        <v>0.43088034729026176</v>
      </c>
      <c r="AA190">
        <f t="shared" si="130"/>
        <v>5.3458285645803016E-2</v>
      </c>
      <c r="AB190">
        <f t="shared" si="131"/>
        <v>0.24028438552047315</v>
      </c>
      <c r="AC190">
        <f t="shared" si="132"/>
        <v>0.1851856618169283</v>
      </c>
      <c r="AD190">
        <f t="shared" si="133"/>
        <v>1.8089251852534183E-2</v>
      </c>
      <c r="AE190">
        <f t="shared" si="134"/>
        <v>0.21628728313387935</v>
      </c>
      <c r="AI190">
        <f t="shared" si="135"/>
        <v>0.33929534961320879</v>
      </c>
      <c r="AJ190">
        <f t="shared" si="136"/>
        <v>0.60695697237781032</v>
      </c>
      <c r="AK190">
        <f t="shared" si="137"/>
        <v>0.8617606945805234</v>
      </c>
      <c r="AL190">
        <f t="shared" si="138"/>
        <v>0.10691657129160581</v>
      </c>
      <c r="AM190">
        <f t="shared" si="139"/>
        <v>0.48056877104094614</v>
      </c>
      <c r="AN190">
        <f t="shared" si="140"/>
        <v>0.37037132363385655</v>
      </c>
      <c r="AO190">
        <f t="shared" si="141"/>
        <v>3.6178503705068144E-2</v>
      </c>
      <c r="AP190">
        <f t="shared" si="142"/>
        <v>0.43257456626775864</v>
      </c>
    </row>
    <row r="191" spans="1:42" x14ac:dyDescent="0.25">
      <c r="A191">
        <v>0.23139999999999999</v>
      </c>
      <c r="B191">
        <v>0.76614643609039346</v>
      </c>
      <c r="C191">
        <v>0.40921454132431628</v>
      </c>
      <c r="D191">
        <v>0.15136250223961831</v>
      </c>
      <c r="E191">
        <v>-0.1026053367063763</v>
      </c>
      <c r="F191">
        <v>0.63772682694094673</v>
      </c>
      <c r="G191">
        <v>0.32897091402651552</v>
      </c>
      <c r="H191">
        <v>0.36962071526825202</v>
      </c>
      <c r="I191">
        <v>0.71952997795754592</v>
      </c>
      <c r="J191">
        <v>0.3188059322487487</v>
      </c>
      <c r="M191">
        <f t="shared" si="118"/>
        <v>0.88307321804519678</v>
      </c>
      <c r="N191">
        <f t="shared" si="119"/>
        <v>0.70460727066215811</v>
      </c>
      <c r="O191">
        <f t="shared" si="120"/>
        <v>0.57568125111980917</v>
      </c>
      <c r="P191">
        <f t="shared" si="121"/>
        <v>0.44869733164681186</v>
      </c>
      <c r="Q191">
        <f t="shared" si="122"/>
        <v>0.81886341347047331</v>
      </c>
      <c r="R191">
        <f t="shared" si="123"/>
        <v>0.66448545701325779</v>
      </c>
      <c r="S191">
        <f t="shared" si="124"/>
        <v>0.68481035763412601</v>
      </c>
      <c r="T191">
        <f t="shared" si="125"/>
        <v>0.85976498897877296</v>
      </c>
      <c r="U191">
        <f t="shared" si="126"/>
        <v>0.65940296612437432</v>
      </c>
      <c r="X191">
        <f t="shared" si="127"/>
        <v>0.17846594738303867</v>
      </c>
      <c r="Y191">
        <f t="shared" si="128"/>
        <v>0.30739196692538762</v>
      </c>
      <c r="Z191">
        <f t="shared" si="129"/>
        <v>0.43437588639838492</v>
      </c>
      <c r="AA191">
        <f t="shared" si="130"/>
        <v>6.4209804574723472E-2</v>
      </c>
      <c r="AB191">
        <f t="shared" si="131"/>
        <v>0.218587761031939</v>
      </c>
      <c r="AC191">
        <f t="shared" si="132"/>
        <v>0.19826286041107077</v>
      </c>
      <c r="AD191">
        <f t="shared" si="133"/>
        <v>2.3308229066423825E-2</v>
      </c>
      <c r="AE191">
        <f t="shared" si="134"/>
        <v>0.22367025192082246</v>
      </c>
      <c r="AI191">
        <f t="shared" si="135"/>
        <v>0.35693189476607717</v>
      </c>
      <c r="AJ191">
        <f t="shared" si="136"/>
        <v>0.61478393385077512</v>
      </c>
      <c r="AK191">
        <f t="shared" si="137"/>
        <v>0.86875177279676974</v>
      </c>
      <c r="AL191">
        <f t="shared" si="138"/>
        <v>0.12841960914944672</v>
      </c>
      <c r="AM191">
        <f t="shared" si="139"/>
        <v>0.43717552206387794</v>
      </c>
      <c r="AN191">
        <f t="shared" si="140"/>
        <v>0.39652572082214144</v>
      </c>
      <c r="AO191">
        <f t="shared" si="141"/>
        <v>4.6616458132847538E-2</v>
      </c>
      <c r="AP191">
        <f t="shared" si="142"/>
        <v>0.44734050384164475</v>
      </c>
    </row>
    <row r="192" spans="1:42" x14ac:dyDescent="0.25">
      <c r="A192">
        <v>0.26229999999999998</v>
      </c>
      <c r="B192">
        <v>0.75316988282678798</v>
      </c>
      <c r="C192">
        <v>0.37934165501986877</v>
      </c>
      <c r="D192">
        <v>0.1297207397112998</v>
      </c>
      <c r="E192">
        <v>-0.1146337698016552</v>
      </c>
      <c r="F192">
        <v>0.59864374982867441</v>
      </c>
      <c r="G192">
        <v>0.34308947524378902</v>
      </c>
      <c r="H192">
        <v>0.33068784666812828</v>
      </c>
      <c r="I192">
        <v>0.69381014169576194</v>
      </c>
      <c r="J192">
        <v>0.2912180319912116</v>
      </c>
      <c r="M192">
        <f t="shared" si="118"/>
        <v>0.87658494141339394</v>
      </c>
      <c r="N192">
        <f t="shared" si="119"/>
        <v>0.68967082750993436</v>
      </c>
      <c r="O192">
        <f t="shared" si="120"/>
        <v>0.56486036985564991</v>
      </c>
      <c r="P192">
        <f t="shared" si="121"/>
        <v>0.44268311509917241</v>
      </c>
      <c r="Q192">
        <f t="shared" si="122"/>
        <v>0.79932187491433715</v>
      </c>
      <c r="R192">
        <f t="shared" si="123"/>
        <v>0.67154473762189448</v>
      </c>
      <c r="S192">
        <f t="shared" si="124"/>
        <v>0.66534392333406411</v>
      </c>
      <c r="T192">
        <f t="shared" si="125"/>
        <v>0.84690507084788091</v>
      </c>
      <c r="U192">
        <f t="shared" si="126"/>
        <v>0.64560901599560583</v>
      </c>
      <c r="X192">
        <f t="shared" si="127"/>
        <v>0.18691411390345958</v>
      </c>
      <c r="Y192">
        <f t="shared" si="128"/>
        <v>0.31172457155774402</v>
      </c>
      <c r="Z192">
        <f t="shared" si="129"/>
        <v>0.43390182631422153</v>
      </c>
      <c r="AA192">
        <f t="shared" si="130"/>
        <v>7.7263066499056787E-2</v>
      </c>
      <c r="AB192">
        <f t="shared" si="131"/>
        <v>0.20504020379149945</v>
      </c>
      <c r="AC192">
        <f t="shared" si="132"/>
        <v>0.21124101807932982</v>
      </c>
      <c r="AD192">
        <f t="shared" si="133"/>
        <v>2.9679870565513022E-2</v>
      </c>
      <c r="AE192">
        <f t="shared" si="134"/>
        <v>0.23097592541778811</v>
      </c>
      <c r="AI192">
        <f t="shared" si="135"/>
        <v>0.37382822780691921</v>
      </c>
      <c r="AJ192">
        <f t="shared" si="136"/>
        <v>0.62344914311548816</v>
      </c>
      <c r="AK192">
        <f t="shared" si="137"/>
        <v>0.86780365262844317</v>
      </c>
      <c r="AL192">
        <f t="shared" si="138"/>
        <v>0.15452613299811357</v>
      </c>
      <c r="AM192">
        <f t="shared" si="139"/>
        <v>0.41008040758299896</v>
      </c>
      <c r="AN192">
        <f t="shared" si="140"/>
        <v>0.4224820361586597</v>
      </c>
      <c r="AO192">
        <f t="shared" si="141"/>
        <v>5.9359741131026045E-2</v>
      </c>
      <c r="AP192">
        <f t="shared" si="142"/>
        <v>0.46195185083557638</v>
      </c>
    </row>
    <row r="193" spans="1:42" x14ac:dyDescent="0.25">
      <c r="A193">
        <v>0.29320000000000002</v>
      </c>
      <c r="B193">
        <v>0.7370696458902708</v>
      </c>
      <c r="C193">
        <v>0.36690543635058281</v>
      </c>
      <c r="D193">
        <v>0.12564721569792131</v>
      </c>
      <c r="E193">
        <v>-0.1145622875396448</v>
      </c>
      <c r="F193">
        <v>0.57817089357937712</v>
      </c>
      <c r="G193">
        <v>0.35767067582078271</v>
      </c>
      <c r="H193">
        <v>0.31171929182453018</v>
      </c>
      <c r="I193">
        <v>0.67431130873761791</v>
      </c>
      <c r="J193">
        <v>0.28269553093619609</v>
      </c>
      <c r="M193">
        <f t="shared" si="118"/>
        <v>0.8685348229451354</v>
      </c>
      <c r="N193">
        <f t="shared" si="119"/>
        <v>0.68345271817529141</v>
      </c>
      <c r="O193">
        <f t="shared" si="120"/>
        <v>0.56282360784896068</v>
      </c>
      <c r="P193">
        <f t="shared" si="121"/>
        <v>0.44271885623017759</v>
      </c>
      <c r="Q193">
        <f t="shared" si="122"/>
        <v>0.78908544678968862</v>
      </c>
      <c r="R193">
        <f t="shared" si="123"/>
        <v>0.6788353379103913</v>
      </c>
      <c r="S193">
        <f t="shared" si="124"/>
        <v>0.65585964591226509</v>
      </c>
      <c r="T193">
        <f t="shared" si="125"/>
        <v>0.83715565436880901</v>
      </c>
      <c r="U193">
        <f t="shared" si="126"/>
        <v>0.64134776546809802</v>
      </c>
      <c r="X193">
        <f t="shared" si="127"/>
        <v>0.18508210476984399</v>
      </c>
      <c r="Y193">
        <f t="shared" si="128"/>
        <v>0.30571121509617472</v>
      </c>
      <c r="Z193">
        <f t="shared" si="129"/>
        <v>0.42581596671495781</v>
      </c>
      <c r="AA193">
        <f t="shared" si="130"/>
        <v>7.9449376155446783E-2</v>
      </c>
      <c r="AB193">
        <f t="shared" si="131"/>
        <v>0.1896994850347441</v>
      </c>
      <c r="AC193">
        <f t="shared" si="132"/>
        <v>0.21267517703287031</v>
      </c>
      <c r="AD193">
        <f t="shared" si="133"/>
        <v>3.1379168576326388E-2</v>
      </c>
      <c r="AE193">
        <f t="shared" si="134"/>
        <v>0.22718705747703738</v>
      </c>
      <c r="AI193">
        <f t="shared" si="135"/>
        <v>0.37016420953968798</v>
      </c>
      <c r="AJ193">
        <f t="shared" si="136"/>
        <v>0.61142243019234943</v>
      </c>
      <c r="AK193">
        <f t="shared" si="137"/>
        <v>0.85163193342991561</v>
      </c>
      <c r="AL193">
        <f t="shared" si="138"/>
        <v>0.15889875231089368</v>
      </c>
      <c r="AM193">
        <f t="shared" si="139"/>
        <v>0.37939897006948808</v>
      </c>
      <c r="AN193">
        <f t="shared" si="140"/>
        <v>0.42535035406574062</v>
      </c>
      <c r="AO193">
        <f t="shared" si="141"/>
        <v>6.2758337152652888E-2</v>
      </c>
      <c r="AP193">
        <f t="shared" si="142"/>
        <v>0.4543741149540747</v>
      </c>
    </row>
    <row r="194" spans="1:42" x14ac:dyDescent="0.25">
      <c r="A194">
        <v>0.32400000000000001</v>
      </c>
      <c r="B194">
        <v>0.69918589591120139</v>
      </c>
      <c r="C194">
        <v>0.33630594610538811</v>
      </c>
      <c r="D194">
        <v>0.1082790420121634</v>
      </c>
      <c r="E194">
        <v>-0.1148281421868033</v>
      </c>
      <c r="F194">
        <v>0.54317790164828805</v>
      </c>
      <c r="G194">
        <v>0.3650592035122992</v>
      </c>
      <c r="H194">
        <v>0.28342682018559118</v>
      </c>
      <c r="I194">
        <v>0.64586916242753267</v>
      </c>
      <c r="J194">
        <v>0.25863545995542792</v>
      </c>
      <c r="M194">
        <f t="shared" si="118"/>
        <v>0.8495929479556007</v>
      </c>
      <c r="N194">
        <f t="shared" si="119"/>
        <v>0.66815297305269405</v>
      </c>
      <c r="O194">
        <f t="shared" si="120"/>
        <v>0.55413952100608166</v>
      </c>
      <c r="P194">
        <f t="shared" si="121"/>
        <v>0.44258592890659837</v>
      </c>
      <c r="Q194">
        <f t="shared" si="122"/>
        <v>0.77158895082414403</v>
      </c>
      <c r="R194">
        <f t="shared" si="123"/>
        <v>0.68252960175614963</v>
      </c>
      <c r="S194">
        <f t="shared" si="124"/>
        <v>0.64171341009279559</v>
      </c>
      <c r="T194">
        <f t="shared" si="125"/>
        <v>0.82293458121376628</v>
      </c>
      <c r="U194">
        <f t="shared" si="126"/>
        <v>0.62931772997771396</v>
      </c>
      <c r="X194">
        <f t="shared" si="127"/>
        <v>0.18143997490290664</v>
      </c>
      <c r="Y194">
        <f t="shared" si="128"/>
        <v>0.29545342694951904</v>
      </c>
      <c r="Z194">
        <f t="shared" si="129"/>
        <v>0.40700701904900233</v>
      </c>
      <c r="AA194">
        <f t="shared" si="130"/>
        <v>7.800399713145667E-2</v>
      </c>
      <c r="AB194">
        <f t="shared" si="131"/>
        <v>0.16706334619945107</v>
      </c>
      <c r="AC194">
        <f t="shared" si="132"/>
        <v>0.20787953786280511</v>
      </c>
      <c r="AD194">
        <f t="shared" si="133"/>
        <v>2.6658366741834416E-2</v>
      </c>
      <c r="AE194">
        <f t="shared" si="134"/>
        <v>0.22027521797788674</v>
      </c>
      <c r="AI194">
        <f t="shared" si="135"/>
        <v>0.36287994980581328</v>
      </c>
      <c r="AJ194">
        <f t="shared" si="136"/>
        <v>0.59090685389903796</v>
      </c>
      <c r="AK194">
        <f t="shared" si="137"/>
        <v>0.81401403809800466</v>
      </c>
      <c r="AL194">
        <f t="shared" si="138"/>
        <v>0.15600799426291334</v>
      </c>
      <c r="AM194">
        <f t="shared" si="139"/>
        <v>0.33412669239890219</v>
      </c>
      <c r="AN194">
        <f t="shared" si="140"/>
        <v>0.41575907572561022</v>
      </c>
      <c r="AO194">
        <f t="shared" si="141"/>
        <v>5.3316733483668721E-2</v>
      </c>
      <c r="AP194">
        <f t="shared" si="142"/>
        <v>0.44055043595577348</v>
      </c>
    </row>
    <row r="195" spans="1:42" x14ac:dyDescent="0.25">
      <c r="A195">
        <v>0.35489999999999999</v>
      </c>
      <c r="B195">
        <v>0.66914889133362887</v>
      </c>
      <c r="C195">
        <v>0.31668474689322301</v>
      </c>
      <c r="D195">
        <v>9.4481867894072299E-2</v>
      </c>
      <c r="E195">
        <v>-0.10036215821106111</v>
      </c>
      <c r="F195">
        <v>0.51756011216252018</v>
      </c>
      <c r="G195">
        <v>0.35822654639683632</v>
      </c>
      <c r="H195">
        <v>0.26525314924079668</v>
      </c>
      <c r="I195">
        <v>0.62113282112565782</v>
      </c>
      <c r="J195">
        <v>0.2408054215172542</v>
      </c>
      <c r="M195">
        <f t="shared" ref="M195:M258" si="184">(B195+1)/2</f>
        <v>0.83457444566681449</v>
      </c>
      <c r="N195">
        <f t="shared" ref="N195:N258" si="185">(C195+1)/2</f>
        <v>0.65834237344661151</v>
      </c>
      <c r="O195">
        <f t="shared" ref="O195:O258" si="186">(D195+1)/2</f>
        <v>0.5472409339470361</v>
      </c>
      <c r="P195">
        <f t="shared" ref="P195:P258" si="187">(E195+1)/2</f>
        <v>0.44981892089446945</v>
      </c>
      <c r="Q195">
        <f t="shared" ref="Q195:Q258" si="188">(F195+1)/2</f>
        <v>0.75878005608126009</v>
      </c>
      <c r="R195">
        <f t="shared" ref="R195:R258" si="189">(G195+1)/2</f>
        <v>0.67911327319841819</v>
      </c>
      <c r="S195">
        <f t="shared" ref="S195:S258" si="190">(H195+1)/2</f>
        <v>0.63262657462039829</v>
      </c>
      <c r="T195">
        <f t="shared" ref="T195:T258" si="191">(I195+1)/2</f>
        <v>0.81056641056282897</v>
      </c>
      <c r="U195">
        <f t="shared" ref="U195:U258" si="192">(J195+1)/2</f>
        <v>0.62040271075862707</v>
      </c>
      <c r="X195">
        <f t="shared" si="127"/>
        <v>0.17623207222020298</v>
      </c>
      <c r="Y195">
        <f t="shared" si="128"/>
        <v>0.28733351171977839</v>
      </c>
      <c r="Z195">
        <f t="shared" si="129"/>
        <v>0.38475552477234504</v>
      </c>
      <c r="AA195">
        <f t="shared" si="130"/>
        <v>7.57943895855544E-2</v>
      </c>
      <c r="AB195">
        <f t="shared" si="131"/>
        <v>0.1554611724683963</v>
      </c>
      <c r="AC195">
        <f t="shared" si="132"/>
        <v>0.20194787104641621</v>
      </c>
      <c r="AD195">
        <f t="shared" si="133"/>
        <v>2.4008035103985526E-2</v>
      </c>
      <c r="AE195">
        <f t="shared" si="134"/>
        <v>0.21417173490818742</v>
      </c>
      <c r="AI195">
        <f t="shared" si="135"/>
        <v>0.35246414444040586</v>
      </c>
      <c r="AJ195">
        <f t="shared" si="136"/>
        <v>0.57466702343955656</v>
      </c>
      <c r="AK195">
        <f t="shared" si="137"/>
        <v>0.76951104954468996</v>
      </c>
      <c r="AL195">
        <f t="shared" si="138"/>
        <v>0.15158877917110869</v>
      </c>
      <c r="AM195">
        <f t="shared" si="139"/>
        <v>0.31092234493679255</v>
      </c>
      <c r="AN195">
        <f t="shared" si="140"/>
        <v>0.40389574209283219</v>
      </c>
      <c r="AO195">
        <f t="shared" si="141"/>
        <v>4.8016070207971051E-2</v>
      </c>
      <c r="AP195">
        <f t="shared" si="142"/>
        <v>0.42834346981637467</v>
      </c>
    </row>
    <row r="196" spans="1:42" x14ac:dyDescent="0.25">
      <c r="A196">
        <v>0.38569999999999999</v>
      </c>
      <c r="B196">
        <v>0.62982396995094747</v>
      </c>
      <c r="C196">
        <v>0.30048327460528318</v>
      </c>
      <c r="D196">
        <v>9.4404443960191806E-2</v>
      </c>
      <c r="E196">
        <v>-6.3183787336990593E-2</v>
      </c>
      <c r="F196">
        <v>0.48101246837738298</v>
      </c>
      <c r="G196">
        <v>0.32267760853435029</v>
      </c>
      <c r="H196">
        <v>0.24181594737713749</v>
      </c>
      <c r="I196">
        <v>0.58775764872709357</v>
      </c>
      <c r="J196">
        <v>0.2328847838957461</v>
      </c>
      <c r="M196">
        <f t="shared" si="184"/>
        <v>0.81491198497547379</v>
      </c>
      <c r="N196">
        <f t="shared" si="185"/>
        <v>0.65024163730264162</v>
      </c>
      <c r="O196">
        <f t="shared" si="186"/>
        <v>0.54720222198009594</v>
      </c>
      <c r="P196">
        <f t="shared" si="187"/>
        <v>0.4684081063315047</v>
      </c>
      <c r="Q196">
        <f t="shared" si="188"/>
        <v>0.74050623418869144</v>
      </c>
      <c r="R196">
        <f t="shared" si="189"/>
        <v>0.66133880426717517</v>
      </c>
      <c r="S196">
        <f t="shared" si="190"/>
        <v>0.62090797368856876</v>
      </c>
      <c r="T196">
        <f t="shared" si="191"/>
        <v>0.79387882436354684</v>
      </c>
      <c r="U196">
        <f t="shared" si="192"/>
        <v>0.61644239194787309</v>
      </c>
      <c r="X196">
        <f t="shared" ref="X196:X259" si="193">M196-N196</f>
        <v>0.16467034767283217</v>
      </c>
      <c r="Y196">
        <f t="shared" ref="Y196:Y259" si="194">M196-O196</f>
        <v>0.26770976299537785</v>
      </c>
      <c r="Z196">
        <f t="shared" ref="Z196:Z259" si="195">M196-P196</f>
        <v>0.34650387864396909</v>
      </c>
      <c r="AA196">
        <f t="shared" ref="AA196:AA259" si="196">M196-Q196</f>
        <v>7.4405750786782354E-2</v>
      </c>
      <c r="AB196">
        <f t="shared" ref="AB196:AB259" si="197">M196-R196</f>
        <v>0.15357318070829862</v>
      </c>
      <c r="AC196">
        <f t="shared" ref="AC196:AC259" si="198">M196-S196</f>
        <v>0.19400401128690503</v>
      </c>
      <c r="AD196">
        <f t="shared" ref="AD196:AD259" si="199">M196-T196</f>
        <v>2.1033160611926949E-2</v>
      </c>
      <c r="AE196">
        <f t="shared" ref="AE196:AE259" si="200">M196-U196</f>
        <v>0.1984695930276007</v>
      </c>
      <c r="AI196">
        <f t="shared" ref="AI196:AI259" si="201">B196-C196</f>
        <v>0.32934069534566429</v>
      </c>
      <c r="AJ196">
        <f t="shared" ref="AJ196:AJ259" si="202">B196-D196</f>
        <v>0.53541952599075571</v>
      </c>
      <c r="AK196">
        <f t="shared" ref="AK196:AK259" si="203">B196-E196</f>
        <v>0.69300775728793806</v>
      </c>
      <c r="AL196">
        <f t="shared" ref="AL196:AL259" si="204">B196-F196</f>
        <v>0.14881150157356449</v>
      </c>
      <c r="AM196">
        <f t="shared" ref="AM196:AM259" si="205">B196-G196</f>
        <v>0.30714636141659718</v>
      </c>
      <c r="AN196">
        <f t="shared" ref="AN196:AN259" si="206">B196-H196</f>
        <v>0.38800802257380995</v>
      </c>
      <c r="AO196">
        <f t="shared" ref="AO196:AO259" si="207">B196-I196</f>
        <v>4.2066321223853897E-2</v>
      </c>
      <c r="AP196">
        <f t="shared" ref="AP196:AP259" si="208">B196-J196</f>
        <v>0.3969391860552014</v>
      </c>
    </row>
    <row r="197" spans="1:42" x14ac:dyDescent="0.25">
      <c r="A197">
        <v>0.41660000000000003</v>
      </c>
      <c r="B197">
        <v>0.58840004274225444</v>
      </c>
      <c r="C197">
        <v>0.28232582050570387</v>
      </c>
      <c r="D197">
        <v>0.10336970836649551</v>
      </c>
      <c r="E197">
        <v>-8.9419161362825003E-3</v>
      </c>
      <c r="F197">
        <v>0.44322736469141111</v>
      </c>
      <c r="G197">
        <v>0.2790536821109581</v>
      </c>
      <c r="H197">
        <v>0.22433401705579339</v>
      </c>
      <c r="I197">
        <v>0.55135758359510767</v>
      </c>
      <c r="J197">
        <v>0.2270321044954535</v>
      </c>
      <c r="M197">
        <f t="shared" si="184"/>
        <v>0.79420002137112722</v>
      </c>
      <c r="N197">
        <f t="shared" si="185"/>
        <v>0.64116291025285199</v>
      </c>
      <c r="O197">
        <f t="shared" si="186"/>
        <v>0.55168485418324775</v>
      </c>
      <c r="P197">
        <f t="shared" si="187"/>
        <v>0.49552904193185876</v>
      </c>
      <c r="Q197">
        <f t="shared" si="188"/>
        <v>0.72161368234570555</v>
      </c>
      <c r="R197">
        <f t="shared" si="189"/>
        <v>0.63952684105547908</v>
      </c>
      <c r="S197">
        <f t="shared" si="190"/>
        <v>0.61216700852789674</v>
      </c>
      <c r="T197">
        <f t="shared" si="191"/>
        <v>0.77567879179755383</v>
      </c>
      <c r="U197">
        <f t="shared" si="192"/>
        <v>0.61351605224772676</v>
      </c>
      <c r="X197">
        <f t="shared" si="193"/>
        <v>0.15303711111827523</v>
      </c>
      <c r="Y197">
        <f t="shared" si="194"/>
        <v>0.24251516718787947</v>
      </c>
      <c r="Z197">
        <f t="shared" si="195"/>
        <v>0.29867097943926846</v>
      </c>
      <c r="AA197">
        <f t="shared" si="196"/>
        <v>7.2586339025421664E-2</v>
      </c>
      <c r="AB197">
        <f t="shared" si="197"/>
        <v>0.15467318031564814</v>
      </c>
      <c r="AC197">
        <f t="shared" si="198"/>
        <v>0.18203301284323048</v>
      </c>
      <c r="AD197">
        <f t="shared" si="199"/>
        <v>1.8521229573573383E-2</v>
      </c>
      <c r="AE197">
        <f t="shared" si="200"/>
        <v>0.18068396912340046</v>
      </c>
      <c r="AF197">
        <f>COUNT(X188:X197)</f>
        <v>10</v>
      </c>
      <c r="AI197">
        <f t="shared" si="201"/>
        <v>0.30607422223655056</v>
      </c>
      <c r="AJ197">
        <f t="shared" si="202"/>
        <v>0.48503033437575893</v>
      </c>
      <c r="AK197">
        <f t="shared" si="203"/>
        <v>0.59734195887853692</v>
      </c>
      <c r="AL197">
        <f t="shared" si="204"/>
        <v>0.14517267805084333</v>
      </c>
      <c r="AM197">
        <f t="shared" si="205"/>
        <v>0.30934636063129634</v>
      </c>
      <c r="AN197">
        <f t="shared" si="206"/>
        <v>0.36406602568646107</v>
      </c>
      <c r="AO197">
        <f t="shared" si="207"/>
        <v>3.7042459147146767E-2</v>
      </c>
      <c r="AP197">
        <f t="shared" si="208"/>
        <v>0.36136793824680091</v>
      </c>
    </row>
    <row r="198" spans="1:42" s="10" customFormat="1" x14ac:dyDescent="0.25">
      <c r="A198" s="10" t="s">
        <v>40</v>
      </c>
      <c r="M198" s="10">
        <f>AVERAGE(M188:M197)</f>
        <v>0.85808792036067505</v>
      </c>
      <c r="N198" s="10">
        <f t="shared" ref="N198" si="209">AVERAGE(N188:N197)</f>
        <v>0.69035610884857179</v>
      </c>
      <c r="O198" s="10">
        <f t="shared" ref="O198" si="210">AVERAGE(O188:O197)</f>
        <v>0.57002479375514326</v>
      </c>
      <c r="P198" s="10">
        <f t="shared" ref="P198" si="211">AVERAGE(P188:P197)</f>
        <v>0.45918650330521016</v>
      </c>
      <c r="Q198" s="10">
        <f t="shared" ref="Q198" si="212">AVERAGE(Q188:Q197)</f>
        <v>0.79649055790648715</v>
      </c>
      <c r="R198" s="10">
        <f t="shared" ref="R198" si="213">AVERAGE(R188:R197)</f>
        <v>0.65913552125161456</v>
      </c>
      <c r="S198" s="10">
        <f t="shared" ref="S198" si="214">AVERAGE(S188:S197)</f>
        <v>0.66981727292912485</v>
      </c>
      <c r="T198" s="10">
        <f t="shared" ref="T198" si="215">AVERAGE(T188:T197)</f>
        <v>0.83752605858018259</v>
      </c>
      <c r="U198" s="10">
        <f t="shared" ref="U198" si="216">AVERAGE(U188:U197)</f>
        <v>0.64910169146000285</v>
      </c>
      <c r="X198" s="10">
        <f>((M198-N198)/N198)*100</f>
        <v>24.296418813742239</v>
      </c>
      <c r="Y198" s="10">
        <f>((M198-O198)/O198)*100</f>
        <v>50.53519246204413</v>
      </c>
      <c r="Z198" s="10">
        <f>((M198-P198)/P198)*100</f>
        <v>86.871328792154145</v>
      </c>
      <c r="AA198" s="10">
        <f>((M198-Q198)/Q198)*100</f>
        <v>7.7335960662348242</v>
      </c>
      <c r="AB198" s="10">
        <f>((M198-R198)/R198)*100</f>
        <v>30.183838178114748</v>
      </c>
      <c r="AC198" s="10">
        <f>((M198-S198)/S198)*100</f>
        <v>28.107762376481983</v>
      </c>
      <c r="AD198" s="10">
        <f>((M198-T198)/T198)*100</f>
        <v>2.455071286420627</v>
      </c>
      <c r="AE198" s="10">
        <f>((M198-U198)/U198)*100</f>
        <v>32.196223126549924</v>
      </c>
      <c r="AI198" s="10">
        <f t="shared" si="201"/>
        <v>0</v>
      </c>
      <c r="AJ198" s="10">
        <f t="shared" si="202"/>
        <v>0</v>
      </c>
      <c r="AK198" s="10">
        <f t="shared" si="203"/>
        <v>0</v>
      </c>
      <c r="AL198" s="10">
        <f t="shared" si="204"/>
        <v>0</v>
      </c>
      <c r="AM198" s="10">
        <f t="shared" si="205"/>
        <v>0</v>
      </c>
      <c r="AN198" s="10">
        <f t="shared" si="206"/>
        <v>0</v>
      </c>
      <c r="AO198" s="10">
        <f t="shared" si="207"/>
        <v>0</v>
      </c>
      <c r="AP198" s="10">
        <f t="shared" si="208"/>
        <v>0</v>
      </c>
    </row>
    <row r="199" spans="1:42" x14ac:dyDescent="0.25">
      <c r="A199">
        <v>0.1767</v>
      </c>
      <c r="B199">
        <v>0.70832079766083189</v>
      </c>
      <c r="C199">
        <v>0.61672069441580579</v>
      </c>
      <c r="D199">
        <v>0.56131879732515211</v>
      </c>
      <c r="E199">
        <v>0.26595406994528048</v>
      </c>
      <c r="F199">
        <v>0.72414909704024455</v>
      </c>
      <c r="G199">
        <v>0.36174864591798261</v>
      </c>
      <c r="H199">
        <v>0.51206596148125527</v>
      </c>
      <c r="I199">
        <v>0.75624568558260141</v>
      </c>
      <c r="J199">
        <v>0.6255522910350354</v>
      </c>
      <c r="M199">
        <f t="shared" si="184"/>
        <v>0.85416039883041595</v>
      </c>
      <c r="N199">
        <f t="shared" si="185"/>
        <v>0.80836034720790284</v>
      </c>
      <c r="O199">
        <f t="shared" si="186"/>
        <v>0.78065939866257605</v>
      </c>
      <c r="P199">
        <f t="shared" si="187"/>
        <v>0.63297703497264024</v>
      </c>
      <c r="Q199">
        <f t="shared" si="188"/>
        <v>0.86207454852012222</v>
      </c>
      <c r="R199">
        <f t="shared" si="189"/>
        <v>0.68087432295899131</v>
      </c>
      <c r="S199">
        <f t="shared" si="190"/>
        <v>0.75603298074062764</v>
      </c>
      <c r="T199">
        <f t="shared" si="191"/>
        <v>0.87812284279130071</v>
      </c>
      <c r="U199">
        <f t="shared" si="192"/>
        <v>0.81277614551751776</v>
      </c>
      <c r="X199">
        <f t="shared" si="193"/>
        <v>4.5800051622513105E-2</v>
      </c>
      <c r="Y199">
        <f t="shared" si="194"/>
        <v>7.3501000167839892E-2</v>
      </c>
      <c r="Z199">
        <f t="shared" si="195"/>
        <v>0.22118336385777571</v>
      </c>
      <c r="AA199">
        <f t="shared" si="196"/>
        <v>-7.9141496897062735E-3</v>
      </c>
      <c r="AB199">
        <f t="shared" si="197"/>
        <v>0.17328607587142464</v>
      </c>
      <c r="AC199">
        <f t="shared" si="198"/>
        <v>9.812741808978831E-2</v>
      </c>
      <c r="AD199">
        <f t="shared" si="199"/>
        <v>-2.3962443960884761E-2</v>
      </c>
      <c r="AE199">
        <f t="shared" si="200"/>
        <v>4.1384253312898189E-2</v>
      </c>
      <c r="AI199">
        <f t="shared" si="201"/>
        <v>9.1600103245026099E-2</v>
      </c>
      <c r="AJ199">
        <f t="shared" si="202"/>
        <v>0.14700200033567978</v>
      </c>
      <c r="AK199">
        <f t="shared" si="203"/>
        <v>0.44236672771555141</v>
      </c>
      <c r="AL199">
        <f t="shared" si="204"/>
        <v>-1.5828299379412658E-2</v>
      </c>
      <c r="AM199">
        <f t="shared" si="205"/>
        <v>0.34657215174284928</v>
      </c>
      <c r="AN199">
        <f t="shared" si="206"/>
        <v>0.19625483617957662</v>
      </c>
      <c r="AO199">
        <f t="shared" si="207"/>
        <v>-4.7924887921769521E-2</v>
      </c>
      <c r="AP199">
        <f t="shared" si="208"/>
        <v>8.276850662579649E-2</v>
      </c>
    </row>
    <row r="200" spans="1:42" x14ac:dyDescent="0.25">
      <c r="A200">
        <v>0.21590000000000001</v>
      </c>
      <c r="B200">
        <v>0.73691396756992056</v>
      </c>
      <c r="C200">
        <v>0.60936754295498452</v>
      </c>
      <c r="D200">
        <v>0.54079415386146645</v>
      </c>
      <c r="E200">
        <v>0.29107337078193668</v>
      </c>
      <c r="F200">
        <v>0.68730460270045157</v>
      </c>
      <c r="G200">
        <v>0.39355397322365138</v>
      </c>
      <c r="H200">
        <v>0.46469446813062892</v>
      </c>
      <c r="I200">
        <v>0.75938375377156764</v>
      </c>
      <c r="J200">
        <v>0.61085530586939973</v>
      </c>
      <c r="M200">
        <f t="shared" si="184"/>
        <v>0.86845698378496028</v>
      </c>
      <c r="N200">
        <f t="shared" si="185"/>
        <v>0.80468377147749226</v>
      </c>
      <c r="O200">
        <f t="shared" si="186"/>
        <v>0.77039707693073323</v>
      </c>
      <c r="P200">
        <f t="shared" si="187"/>
        <v>0.64553668539096831</v>
      </c>
      <c r="Q200">
        <f t="shared" si="188"/>
        <v>0.84365230135022573</v>
      </c>
      <c r="R200">
        <f t="shared" si="189"/>
        <v>0.69677698661182563</v>
      </c>
      <c r="S200">
        <f t="shared" si="190"/>
        <v>0.73234723406531443</v>
      </c>
      <c r="T200">
        <f t="shared" si="191"/>
        <v>0.87969187688578376</v>
      </c>
      <c r="U200">
        <f t="shared" si="192"/>
        <v>0.80542765293469987</v>
      </c>
      <c r="X200">
        <f t="shared" si="193"/>
        <v>6.3773212307468019E-2</v>
      </c>
      <c r="Y200">
        <f t="shared" si="194"/>
        <v>9.8059906854227052E-2</v>
      </c>
      <c r="Z200">
        <f t="shared" si="195"/>
        <v>0.22292029839399197</v>
      </c>
      <c r="AA200">
        <f t="shared" si="196"/>
        <v>2.4804682434734548E-2</v>
      </c>
      <c r="AB200">
        <f t="shared" si="197"/>
        <v>0.17167999717313465</v>
      </c>
      <c r="AC200">
        <f t="shared" si="198"/>
        <v>0.13610974971964585</v>
      </c>
      <c r="AD200">
        <f t="shared" si="199"/>
        <v>-1.1234893100823484E-2</v>
      </c>
      <c r="AE200">
        <f t="shared" si="200"/>
        <v>6.3029330850260412E-2</v>
      </c>
      <c r="AI200">
        <f t="shared" si="201"/>
        <v>0.12754642461493604</v>
      </c>
      <c r="AJ200">
        <f t="shared" si="202"/>
        <v>0.1961198137084541</v>
      </c>
      <c r="AK200">
        <f t="shared" si="203"/>
        <v>0.44584059678798388</v>
      </c>
      <c r="AL200">
        <f t="shared" si="204"/>
        <v>4.9609364869468986E-2</v>
      </c>
      <c r="AM200">
        <f t="shared" si="205"/>
        <v>0.34335999434626918</v>
      </c>
      <c r="AN200">
        <f t="shared" si="206"/>
        <v>0.27221949943929163</v>
      </c>
      <c r="AO200">
        <f t="shared" si="207"/>
        <v>-2.246978620164708E-2</v>
      </c>
      <c r="AP200">
        <f t="shared" si="208"/>
        <v>0.12605866170052082</v>
      </c>
    </row>
    <row r="201" spans="1:42" x14ac:dyDescent="0.25">
      <c r="A201">
        <v>0.25519999999999998</v>
      </c>
      <c r="B201">
        <v>0.77093512457641811</v>
      </c>
      <c r="C201">
        <v>0.59308887026165513</v>
      </c>
      <c r="D201">
        <v>0.50597099993152717</v>
      </c>
      <c r="E201">
        <v>0.33134599168697632</v>
      </c>
      <c r="F201">
        <v>0.631184570503453</v>
      </c>
      <c r="G201">
        <v>0.43420888397522828</v>
      </c>
      <c r="H201">
        <v>0.40815101524205111</v>
      </c>
      <c r="I201">
        <v>0.74249506254680664</v>
      </c>
      <c r="J201">
        <v>0.58305995593046955</v>
      </c>
      <c r="M201">
        <f t="shared" si="184"/>
        <v>0.88546756228820911</v>
      </c>
      <c r="N201">
        <f t="shared" si="185"/>
        <v>0.79654443513082751</v>
      </c>
      <c r="O201">
        <f t="shared" si="186"/>
        <v>0.75298549996576358</v>
      </c>
      <c r="P201">
        <f t="shared" si="187"/>
        <v>0.66567299584348816</v>
      </c>
      <c r="Q201">
        <f t="shared" si="188"/>
        <v>0.81559228525172656</v>
      </c>
      <c r="R201">
        <f t="shared" si="189"/>
        <v>0.71710444198761414</v>
      </c>
      <c r="S201">
        <f t="shared" si="190"/>
        <v>0.70407550762102555</v>
      </c>
      <c r="T201">
        <f t="shared" si="191"/>
        <v>0.87124753127340337</v>
      </c>
      <c r="U201">
        <f t="shared" si="192"/>
        <v>0.79152997796523472</v>
      </c>
      <c r="X201">
        <f t="shared" si="193"/>
        <v>8.8923127157381598E-2</v>
      </c>
      <c r="Y201">
        <f t="shared" si="194"/>
        <v>0.13248206232244553</v>
      </c>
      <c r="Z201">
        <f t="shared" si="195"/>
        <v>0.21979456644472095</v>
      </c>
      <c r="AA201">
        <f t="shared" si="196"/>
        <v>6.9875277036482553E-2</v>
      </c>
      <c r="AB201">
        <f t="shared" si="197"/>
        <v>0.16836312030059497</v>
      </c>
      <c r="AC201">
        <f t="shared" si="198"/>
        <v>0.18139205466718356</v>
      </c>
      <c r="AD201">
        <f t="shared" si="199"/>
        <v>1.4220031014805734E-2</v>
      </c>
      <c r="AE201">
        <f t="shared" si="200"/>
        <v>9.3937584322974388E-2</v>
      </c>
      <c r="AI201">
        <f t="shared" si="201"/>
        <v>0.17784625431476297</v>
      </c>
      <c r="AJ201">
        <f t="shared" si="202"/>
        <v>0.26496412464489094</v>
      </c>
      <c r="AK201">
        <f t="shared" si="203"/>
        <v>0.43958913288944179</v>
      </c>
      <c r="AL201">
        <f t="shared" si="204"/>
        <v>0.13975055407296511</v>
      </c>
      <c r="AM201">
        <f t="shared" si="205"/>
        <v>0.33672624060118983</v>
      </c>
      <c r="AN201">
        <f t="shared" si="206"/>
        <v>0.362784109334367</v>
      </c>
      <c r="AO201">
        <f t="shared" si="207"/>
        <v>2.8440062029611468E-2</v>
      </c>
      <c r="AP201">
        <f t="shared" si="208"/>
        <v>0.18787516864594855</v>
      </c>
    </row>
    <row r="202" spans="1:42" x14ac:dyDescent="0.25">
      <c r="A202">
        <v>0.29449999999999998</v>
      </c>
      <c r="B202">
        <v>0.78686003064999077</v>
      </c>
      <c r="C202">
        <v>0.57406710221837498</v>
      </c>
      <c r="D202">
        <v>0.48043488410854829</v>
      </c>
      <c r="E202">
        <v>0.35102993849983649</v>
      </c>
      <c r="F202">
        <v>0.59570250593841589</v>
      </c>
      <c r="G202">
        <v>0.46083271276349669</v>
      </c>
      <c r="H202">
        <v>0.37105709789143898</v>
      </c>
      <c r="I202">
        <v>0.72501019749332585</v>
      </c>
      <c r="J202">
        <v>0.5591091509122309</v>
      </c>
      <c r="M202">
        <f t="shared" si="184"/>
        <v>0.89343001532499544</v>
      </c>
      <c r="N202">
        <f t="shared" si="185"/>
        <v>0.78703355110918749</v>
      </c>
      <c r="O202">
        <f t="shared" si="186"/>
        <v>0.7402174420542742</v>
      </c>
      <c r="P202">
        <f t="shared" si="187"/>
        <v>0.67551496924991827</v>
      </c>
      <c r="Q202">
        <f t="shared" si="188"/>
        <v>0.79785125296920789</v>
      </c>
      <c r="R202">
        <f t="shared" si="189"/>
        <v>0.73041635638174829</v>
      </c>
      <c r="S202">
        <f t="shared" si="190"/>
        <v>0.68552854894571946</v>
      </c>
      <c r="T202">
        <f t="shared" si="191"/>
        <v>0.86250509874666292</v>
      </c>
      <c r="U202">
        <f t="shared" si="192"/>
        <v>0.77955457545611551</v>
      </c>
      <c r="X202">
        <f t="shared" si="193"/>
        <v>0.10639646421580795</v>
      </c>
      <c r="Y202">
        <f t="shared" si="194"/>
        <v>0.15321257327072124</v>
      </c>
      <c r="Z202">
        <f t="shared" si="195"/>
        <v>0.21791504607507717</v>
      </c>
      <c r="AA202">
        <f t="shared" si="196"/>
        <v>9.557876235578755E-2</v>
      </c>
      <c r="AB202">
        <f t="shared" si="197"/>
        <v>0.16301365894324715</v>
      </c>
      <c r="AC202">
        <f t="shared" si="198"/>
        <v>0.20790146637927598</v>
      </c>
      <c r="AD202">
        <f t="shared" si="199"/>
        <v>3.0924916578332518E-2</v>
      </c>
      <c r="AE202">
        <f t="shared" si="200"/>
        <v>0.11387543986887994</v>
      </c>
      <c r="AI202">
        <f t="shared" si="201"/>
        <v>0.21279292843161579</v>
      </c>
      <c r="AJ202">
        <f t="shared" si="202"/>
        <v>0.30642514654144248</v>
      </c>
      <c r="AK202">
        <f t="shared" si="203"/>
        <v>0.43583009215015428</v>
      </c>
      <c r="AL202">
        <f t="shared" si="204"/>
        <v>0.19115752471157488</v>
      </c>
      <c r="AM202">
        <f t="shared" si="205"/>
        <v>0.32602731788649408</v>
      </c>
      <c r="AN202">
        <f t="shared" si="206"/>
        <v>0.41580293275855179</v>
      </c>
      <c r="AO202">
        <f t="shared" si="207"/>
        <v>6.1849833156664924E-2</v>
      </c>
      <c r="AP202">
        <f t="shared" si="208"/>
        <v>0.22775087973775987</v>
      </c>
    </row>
    <row r="203" spans="1:42" x14ac:dyDescent="0.25">
      <c r="A203">
        <v>0.3337</v>
      </c>
      <c r="B203">
        <v>0.79974270909585143</v>
      </c>
      <c r="C203">
        <v>0.55789739652726711</v>
      </c>
      <c r="D203">
        <v>0.4485649077606545</v>
      </c>
      <c r="E203">
        <v>0.3833328081126085</v>
      </c>
      <c r="F203">
        <v>0.55322969672278122</v>
      </c>
      <c r="G203">
        <v>0.49205985814458048</v>
      </c>
      <c r="H203">
        <v>0.33061272872225927</v>
      </c>
      <c r="I203">
        <v>0.69370629545198925</v>
      </c>
      <c r="J203">
        <v>0.53282022704641541</v>
      </c>
      <c r="M203">
        <f t="shared" si="184"/>
        <v>0.89987135454792577</v>
      </c>
      <c r="N203">
        <f t="shared" si="185"/>
        <v>0.77894869826363355</v>
      </c>
      <c r="O203">
        <f t="shared" si="186"/>
        <v>0.72428245388032719</v>
      </c>
      <c r="P203">
        <f t="shared" si="187"/>
        <v>0.69166640405630431</v>
      </c>
      <c r="Q203">
        <f t="shared" si="188"/>
        <v>0.77661484836139061</v>
      </c>
      <c r="R203">
        <f t="shared" si="189"/>
        <v>0.74602992907229027</v>
      </c>
      <c r="S203">
        <f t="shared" si="190"/>
        <v>0.66530636436112967</v>
      </c>
      <c r="T203">
        <f t="shared" si="191"/>
        <v>0.84685314772599463</v>
      </c>
      <c r="U203">
        <f t="shared" si="192"/>
        <v>0.76641011352320776</v>
      </c>
      <c r="X203">
        <f t="shared" si="193"/>
        <v>0.12092265628429222</v>
      </c>
      <c r="Y203">
        <f t="shared" si="194"/>
        <v>0.17558890066759858</v>
      </c>
      <c r="Z203">
        <f t="shared" si="195"/>
        <v>0.20820495049162147</v>
      </c>
      <c r="AA203">
        <f t="shared" si="196"/>
        <v>0.12325650618653516</v>
      </c>
      <c r="AB203">
        <f t="shared" si="197"/>
        <v>0.15384142547563551</v>
      </c>
      <c r="AC203">
        <f t="shared" si="198"/>
        <v>0.23456499018679611</v>
      </c>
      <c r="AD203">
        <f t="shared" si="199"/>
        <v>5.3018206821931146E-2</v>
      </c>
      <c r="AE203">
        <f t="shared" si="200"/>
        <v>0.13346124102471801</v>
      </c>
      <c r="AI203">
        <f t="shared" si="201"/>
        <v>0.24184531256858433</v>
      </c>
      <c r="AJ203">
        <f t="shared" si="202"/>
        <v>0.35117780133519694</v>
      </c>
      <c r="AK203">
        <f t="shared" si="203"/>
        <v>0.41640990098324293</v>
      </c>
      <c r="AL203">
        <f t="shared" si="204"/>
        <v>0.24651301237307022</v>
      </c>
      <c r="AM203">
        <f t="shared" si="205"/>
        <v>0.30768285095127096</v>
      </c>
      <c r="AN203">
        <f t="shared" si="206"/>
        <v>0.46912998037359216</v>
      </c>
      <c r="AO203">
        <f t="shared" si="207"/>
        <v>0.10603641364386218</v>
      </c>
      <c r="AP203">
        <f t="shared" si="208"/>
        <v>0.26692248204943603</v>
      </c>
    </row>
    <row r="204" spans="1:42" x14ac:dyDescent="0.25">
      <c r="A204">
        <v>0.373</v>
      </c>
      <c r="B204">
        <v>0.77285346783984643</v>
      </c>
      <c r="C204">
        <v>0.53573318875982934</v>
      </c>
      <c r="D204">
        <v>0.40701701319437489</v>
      </c>
      <c r="E204">
        <v>0.4335463571059443</v>
      </c>
      <c r="F204">
        <v>0.49925165416925088</v>
      </c>
      <c r="G204">
        <v>0.51384934827798368</v>
      </c>
      <c r="H204">
        <v>0.28313587120982209</v>
      </c>
      <c r="I204">
        <v>0.64513368482896105</v>
      </c>
      <c r="J204">
        <v>0.49926836132865049</v>
      </c>
      <c r="M204">
        <f t="shared" si="184"/>
        <v>0.88642673391992322</v>
      </c>
      <c r="N204">
        <f t="shared" si="185"/>
        <v>0.76786659437991467</v>
      </c>
      <c r="O204">
        <f t="shared" si="186"/>
        <v>0.70350850659718744</v>
      </c>
      <c r="P204">
        <f t="shared" si="187"/>
        <v>0.71677317855297218</v>
      </c>
      <c r="Q204">
        <f t="shared" si="188"/>
        <v>0.74962582708462544</v>
      </c>
      <c r="R204">
        <f t="shared" si="189"/>
        <v>0.75692467413899189</v>
      </c>
      <c r="S204">
        <f t="shared" si="190"/>
        <v>0.6415679356049111</v>
      </c>
      <c r="T204">
        <f t="shared" si="191"/>
        <v>0.82256684241448053</v>
      </c>
      <c r="U204">
        <f t="shared" si="192"/>
        <v>0.74963418066432519</v>
      </c>
      <c r="X204">
        <f t="shared" si="193"/>
        <v>0.11856013954000855</v>
      </c>
      <c r="Y204">
        <f t="shared" si="194"/>
        <v>0.18291822732273577</v>
      </c>
      <c r="Z204">
        <f t="shared" si="195"/>
        <v>0.16965355536695104</v>
      </c>
      <c r="AA204">
        <f t="shared" si="196"/>
        <v>0.13680090683529778</v>
      </c>
      <c r="AB204">
        <f t="shared" si="197"/>
        <v>0.12950205978093132</v>
      </c>
      <c r="AC204">
        <f t="shared" si="198"/>
        <v>0.24485879831501212</v>
      </c>
      <c r="AD204">
        <f t="shared" si="199"/>
        <v>6.385989150544269E-2</v>
      </c>
      <c r="AE204">
        <f t="shared" si="200"/>
        <v>0.13679255325559803</v>
      </c>
      <c r="AI204">
        <f t="shared" si="201"/>
        <v>0.23712027908001709</v>
      </c>
      <c r="AJ204">
        <f t="shared" si="202"/>
        <v>0.36583645464547154</v>
      </c>
      <c r="AK204">
        <f t="shared" si="203"/>
        <v>0.33930711073390213</v>
      </c>
      <c r="AL204">
        <f t="shared" si="204"/>
        <v>0.27360181367059555</v>
      </c>
      <c r="AM204">
        <f t="shared" si="205"/>
        <v>0.25900411956186276</v>
      </c>
      <c r="AN204">
        <f t="shared" si="206"/>
        <v>0.48971759663002434</v>
      </c>
      <c r="AO204">
        <f t="shared" si="207"/>
        <v>0.12771978301088538</v>
      </c>
      <c r="AP204">
        <f t="shared" si="208"/>
        <v>0.27358510651119594</v>
      </c>
    </row>
    <row r="205" spans="1:42" x14ac:dyDescent="0.25">
      <c r="A205">
        <v>0.4123</v>
      </c>
      <c r="B205">
        <v>0.73453962846154786</v>
      </c>
      <c r="C205">
        <v>0.52006430764395739</v>
      </c>
      <c r="D205">
        <v>0.37592925735100741</v>
      </c>
      <c r="E205">
        <v>0.48295251158872621</v>
      </c>
      <c r="F205">
        <v>0.45439844163050241</v>
      </c>
      <c r="G205">
        <v>0.5227682751710534</v>
      </c>
      <c r="H205">
        <v>0.24510937548344541</v>
      </c>
      <c r="I205">
        <v>0.60909691405505761</v>
      </c>
      <c r="J205">
        <v>0.47544826033926352</v>
      </c>
      <c r="M205">
        <f t="shared" si="184"/>
        <v>0.86726981423077398</v>
      </c>
      <c r="N205">
        <f t="shared" si="185"/>
        <v>0.76003215382197875</v>
      </c>
      <c r="O205">
        <f t="shared" si="186"/>
        <v>0.68796462867550368</v>
      </c>
      <c r="P205">
        <f t="shared" si="187"/>
        <v>0.74147625579436305</v>
      </c>
      <c r="Q205">
        <f t="shared" si="188"/>
        <v>0.72719922081525123</v>
      </c>
      <c r="R205">
        <f t="shared" si="189"/>
        <v>0.7613841375855267</v>
      </c>
      <c r="S205">
        <f t="shared" si="190"/>
        <v>0.62255468774172273</v>
      </c>
      <c r="T205">
        <f t="shared" si="191"/>
        <v>0.80454845702752875</v>
      </c>
      <c r="U205">
        <f t="shared" si="192"/>
        <v>0.73772413016963179</v>
      </c>
      <c r="X205">
        <f t="shared" si="193"/>
        <v>0.10723766040879523</v>
      </c>
      <c r="Y205">
        <f t="shared" si="194"/>
        <v>0.17930518555527031</v>
      </c>
      <c r="Z205">
        <f t="shared" si="195"/>
        <v>0.12579355843641093</v>
      </c>
      <c r="AA205">
        <f t="shared" si="196"/>
        <v>0.14007059341552275</v>
      </c>
      <c r="AB205">
        <f t="shared" si="197"/>
        <v>0.10588567664524728</v>
      </c>
      <c r="AC205">
        <f t="shared" si="198"/>
        <v>0.24471512648905125</v>
      </c>
      <c r="AD205">
        <f t="shared" si="199"/>
        <v>6.2721357203245232E-2</v>
      </c>
      <c r="AE205">
        <f t="shared" si="200"/>
        <v>0.1295456840611422</v>
      </c>
      <c r="AI205">
        <f t="shared" si="201"/>
        <v>0.21447532081759046</v>
      </c>
      <c r="AJ205">
        <f t="shared" si="202"/>
        <v>0.35861037111054045</v>
      </c>
      <c r="AK205">
        <f t="shared" si="203"/>
        <v>0.25158711687282165</v>
      </c>
      <c r="AL205">
        <f t="shared" si="204"/>
        <v>0.28014118683104544</v>
      </c>
      <c r="AM205">
        <f t="shared" si="205"/>
        <v>0.21177135329049446</v>
      </c>
      <c r="AN205">
        <f t="shared" si="206"/>
        <v>0.48943025297810244</v>
      </c>
      <c r="AO205">
        <f t="shared" si="207"/>
        <v>0.12544271440649024</v>
      </c>
      <c r="AP205">
        <f t="shared" si="208"/>
        <v>0.25909136812228434</v>
      </c>
    </row>
    <row r="206" spans="1:42" x14ac:dyDescent="0.25">
      <c r="A206">
        <v>0.45150000000000001</v>
      </c>
      <c r="B206">
        <v>0.70027839343607012</v>
      </c>
      <c r="C206">
        <v>0.52052924192912275</v>
      </c>
      <c r="D206">
        <v>0.35774340689014639</v>
      </c>
      <c r="E206">
        <v>0.54792850168223373</v>
      </c>
      <c r="F206">
        <v>0.4272010363447814</v>
      </c>
      <c r="G206">
        <v>0.51421745384550632</v>
      </c>
      <c r="H206">
        <v>0.2290916122039004</v>
      </c>
      <c r="I206">
        <v>0.5701631240510574</v>
      </c>
      <c r="J206">
        <v>0.46784337600082881</v>
      </c>
      <c r="M206">
        <f t="shared" si="184"/>
        <v>0.85013919671803506</v>
      </c>
      <c r="N206">
        <f t="shared" si="185"/>
        <v>0.76026462096456138</v>
      </c>
      <c r="O206">
        <f t="shared" si="186"/>
        <v>0.67887170344507319</v>
      </c>
      <c r="P206">
        <f t="shared" si="187"/>
        <v>0.77396425084111686</v>
      </c>
      <c r="Q206">
        <f t="shared" si="188"/>
        <v>0.71360051817239067</v>
      </c>
      <c r="R206">
        <f t="shared" si="189"/>
        <v>0.75710872692275322</v>
      </c>
      <c r="S206">
        <f t="shared" si="190"/>
        <v>0.6145458061019502</v>
      </c>
      <c r="T206">
        <f t="shared" si="191"/>
        <v>0.7850815620255287</v>
      </c>
      <c r="U206">
        <f t="shared" si="192"/>
        <v>0.73392168800041446</v>
      </c>
      <c r="X206">
        <f t="shared" si="193"/>
        <v>8.9874575753473684E-2</v>
      </c>
      <c r="Y206">
        <f t="shared" si="194"/>
        <v>0.17126749327296187</v>
      </c>
      <c r="Z206">
        <f t="shared" si="195"/>
        <v>7.6174945876918199E-2</v>
      </c>
      <c r="AA206">
        <f t="shared" si="196"/>
        <v>0.13653867854564439</v>
      </c>
      <c r="AB206">
        <f t="shared" si="197"/>
        <v>9.3030469795281845E-2</v>
      </c>
      <c r="AC206">
        <f t="shared" si="198"/>
        <v>0.23559339061608486</v>
      </c>
      <c r="AD206">
        <f t="shared" si="199"/>
        <v>6.5057634692506361E-2</v>
      </c>
      <c r="AE206">
        <f t="shared" si="200"/>
        <v>0.1162175087176206</v>
      </c>
      <c r="AI206">
        <f t="shared" si="201"/>
        <v>0.17974915150694737</v>
      </c>
      <c r="AJ206">
        <f t="shared" si="202"/>
        <v>0.34253498654592374</v>
      </c>
      <c r="AK206">
        <f t="shared" si="203"/>
        <v>0.1523498917538364</v>
      </c>
      <c r="AL206">
        <f t="shared" si="204"/>
        <v>0.27307735709128872</v>
      </c>
      <c r="AM206">
        <f t="shared" si="205"/>
        <v>0.1860609395905638</v>
      </c>
      <c r="AN206">
        <f t="shared" si="206"/>
        <v>0.47118678123216973</v>
      </c>
      <c r="AO206">
        <f t="shared" si="207"/>
        <v>0.13011526938501272</v>
      </c>
      <c r="AP206">
        <f t="shared" si="208"/>
        <v>0.23243501743524131</v>
      </c>
    </row>
    <row r="207" spans="1:42" x14ac:dyDescent="0.25">
      <c r="A207">
        <v>0.49080000000000001</v>
      </c>
      <c r="B207">
        <v>0.65670321879022431</v>
      </c>
      <c r="C207">
        <v>0.51507472294433521</v>
      </c>
      <c r="D207">
        <v>0.33518616885522751</v>
      </c>
      <c r="E207">
        <v>0.60905194881314784</v>
      </c>
      <c r="F207">
        <v>0.3985310542829924</v>
      </c>
      <c r="G207">
        <v>0.48012661360033732</v>
      </c>
      <c r="H207">
        <v>0.21537912093652431</v>
      </c>
      <c r="I207">
        <v>0.52620829671062475</v>
      </c>
      <c r="J207">
        <v>0.4526667260123366</v>
      </c>
      <c r="M207">
        <f t="shared" si="184"/>
        <v>0.82835160939511221</v>
      </c>
      <c r="N207">
        <f t="shared" si="185"/>
        <v>0.75753736147216766</v>
      </c>
      <c r="O207">
        <f t="shared" si="186"/>
        <v>0.66759308442761378</v>
      </c>
      <c r="P207">
        <f t="shared" si="187"/>
        <v>0.80452597440657392</v>
      </c>
      <c r="Q207">
        <f t="shared" si="188"/>
        <v>0.69926552714149626</v>
      </c>
      <c r="R207">
        <f t="shared" si="189"/>
        <v>0.74006330680016863</v>
      </c>
      <c r="S207">
        <f t="shared" si="190"/>
        <v>0.60768956046826217</v>
      </c>
      <c r="T207">
        <f t="shared" si="191"/>
        <v>0.76310414835531237</v>
      </c>
      <c r="U207">
        <f t="shared" si="192"/>
        <v>0.72633336300616835</v>
      </c>
      <c r="X207">
        <f t="shared" si="193"/>
        <v>7.0814247922944551E-2</v>
      </c>
      <c r="Y207">
        <f t="shared" si="194"/>
        <v>0.16075852496749843</v>
      </c>
      <c r="Z207">
        <f t="shared" si="195"/>
        <v>2.3825634988538291E-2</v>
      </c>
      <c r="AA207">
        <f t="shared" si="196"/>
        <v>0.12908608225361595</v>
      </c>
      <c r="AB207">
        <f t="shared" si="197"/>
        <v>8.828830259494358E-2</v>
      </c>
      <c r="AC207">
        <f t="shared" si="198"/>
        <v>0.22066204892685004</v>
      </c>
      <c r="AD207">
        <f t="shared" si="199"/>
        <v>6.5247461039799837E-2</v>
      </c>
      <c r="AE207">
        <f t="shared" si="200"/>
        <v>0.10201824638894386</v>
      </c>
      <c r="AI207">
        <f t="shared" si="201"/>
        <v>0.1416284958458891</v>
      </c>
      <c r="AJ207">
        <f t="shared" si="202"/>
        <v>0.3215170499349968</v>
      </c>
      <c r="AK207">
        <f t="shared" si="203"/>
        <v>4.7651269977076471E-2</v>
      </c>
      <c r="AL207">
        <f t="shared" si="204"/>
        <v>0.2581721645072319</v>
      </c>
      <c r="AM207">
        <f t="shared" si="205"/>
        <v>0.17657660518988699</v>
      </c>
      <c r="AN207">
        <f t="shared" si="206"/>
        <v>0.44132409785369997</v>
      </c>
      <c r="AO207">
        <f t="shared" si="207"/>
        <v>0.13049492207959956</v>
      </c>
      <c r="AP207">
        <f t="shared" si="208"/>
        <v>0.20403649277788771</v>
      </c>
    </row>
    <row r="208" spans="1:42" x14ac:dyDescent="0.25">
      <c r="A208">
        <v>0.53010000000000002</v>
      </c>
      <c r="B208">
        <v>0.62424739720220557</v>
      </c>
      <c r="C208">
        <v>0.51367992938178164</v>
      </c>
      <c r="D208">
        <v>0.3196484955618803</v>
      </c>
      <c r="E208">
        <v>0.65356538842263401</v>
      </c>
      <c r="F208">
        <v>0.37476626538502722</v>
      </c>
      <c r="G208">
        <v>0.44322761565354851</v>
      </c>
      <c r="H208">
        <v>0.20178932046639739</v>
      </c>
      <c r="I208">
        <v>0.49480240981048651</v>
      </c>
      <c r="J208">
        <v>0.44369008616383537</v>
      </c>
      <c r="M208">
        <f t="shared" si="184"/>
        <v>0.81212369860110278</v>
      </c>
      <c r="N208">
        <f t="shared" si="185"/>
        <v>0.75683996469089077</v>
      </c>
      <c r="O208">
        <f t="shared" si="186"/>
        <v>0.65982424778094018</v>
      </c>
      <c r="P208">
        <f t="shared" si="187"/>
        <v>0.826782694211317</v>
      </c>
      <c r="Q208">
        <f t="shared" si="188"/>
        <v>0.68738313269251361</v>
      </c>
      <c r="R208">
        <f t="shared" si="189"/>
        <v>0.7216138078267742</v>
      </c>
      <c r="S208">
        <f t="shared" si="190"/>
        <v>0.60089466023319871</v>
      </c>
      <c r="T208">
        <f t="shared" si="191"/>
        <v>0.7474012049052432</v>
      </c>
      <c r="U208">
        <f t="shared" si="192"/>
        <v>0.72184504308191766</v>
      </c>
      <c r="X208">
        <f t="shared" si="193"/>
        <v>5.5283733910212018E-2</v>
      </c>
      <c r="Y208">
        <f t="shared" si="194"/>
        <v>0.15229945082016261</v>
      </c>
      <c r="Z208">
        <f t="shared" si="195"/>
        <v>-1.465899561021422E-2</v>
      </c>
      <c r="AA208">
        <f t="shared" si="196"/>
        <v>0.12474056590858917</v>
      </c>
      <c r="AB208">
        <f t="shared" si="197"/>
        <v>9.0509890774328583E-2</v>
      </c>
      <c r="AC208">
        <f t="shared" si="198"/>
        <v>0.21122903836790408</v>
      </c>
      <c r="AD208">
        <f t="shared" si="199"/>
        <v>6.4722493695859584E-2</v>
      </c>
      <c r="AE208">
        <f t="shared" si="200"/>
        <v>9.0278655519185125E-2</v>
      </c>
      <c r="AF208">
        <f>COUNT(X199:X208)</f>
        <v>10</v>
      </c>
      <c r="AI208">
        <f t="shared" si="201"/>
        <v>0.11056746782042393</v>
      </c>
      <c r="AJ208">
        <f t="shared" si="202"/>
        <v>0.30459890164032527</v>
      </c>
      <c r="AK208">
        <f t="shared" si="203"/>
        <v>-2.9317991220428441E-2</v>
      </c>
      <c r="AL208">
        <f t="shared" si="204"/>
        <v>0.24948113181717835</v>
      </c>
      <c r="AM208">
        <f t="shared" si="205"/>
        <v>0.18101978154865705</v>
      </c>
      <c r="AN208">
        <f t="shared" si="206"/>
        <v>0.42245807673580815</v>
      </c>
      <c r="AO208">
        <f t="shared" si="207"/>
        <v>0.12944498739171906</v>
      </c>
      <c r="AP208">
        <f t="shared" si="208"/>
        <v>0.18055731103837019</v>
      </c>
    </row>
    <row r="209" spans="1:42" s="10" customFormat="1" x14ac:dyDescent="0.25">
      <c r="A209" s="10" t="s">
        <v>41</v>
      </c>
      <c r="M209" s="10">
        <f>AVERAGE(M199:M208)</f>
        <v>0.86456973676414539</v>
      </c>
      <c r="N209" s="10">
        <f t="shared" ref="N209" si="217">AVERAGE(N199:N208)</f>
        <v>0.77781114985185573</v>
      </c>
      <c r="O209" s="10">
        <f t="shared" ref="O209" si="218">AVERAGE(O199:O208)</f>
        <v>0.71663040424199909</v>
      </c>
      <c r="P209" s="10">
        <f t="shared" ref="P209" si="219">AVERAGE(P199:P208)</f>
        <v>0.71748904433196636</v>
      </c>
      <c r="Q209" s="10">
        <f t="shared" ref="Q209" si="220">AVERAGE(Q199:Q208)</f>
        <v>0.76728594623589497</v>
      </c>
      <c r="R209" s="10">
        <f t="shared" ref="R209" si="221">AVERAGE(R199:R208)</f>
        <v>0.73082966902866853</v>
      </c>
      <c r="S209" s="10">
        <f t="shared" ref="S209" si="222">AVERAGE(S199:S208)</f>
        <v>0.66305432858838631</v>
      </c>
      <c r="T209" s="10">
        <f t="shared" ref="T209" si="223">AVERAGE(T199:T208)</f>
        <v>0.82611227121512376</v>
      </c>
      <c r="U209" s="10">
        <f t="shared" ref="U209" si="224">AVERAGE(U199:U208)</f>
        <v>0.76251568703192329</v>
      </c>
      <c r="X209" s="10">
        <f>((M209-N209)/N209)*100</f>
        <v>11.154196867557628</v>
      </c>
      <c r="Y209" s="10">
        <f>((M209-O209)/O209)*100</f>
        <v>20.643742108406084</v>
      </c>
      <c r="Z209" s="10">
        <f>((M209-P209)/P209)*100</f>
        <v>20.499364219438597</v>
      </c>
      <c r="AA209" s="10">
        <f>((M209-Q209)/Q209)*100</f>
        <v>12.678948572627894</v>
      </c>
      <c r="AB209" s="10">
        <f>((M209-R209)/R209)*100</f>
        <v>18.299758945641628</v>
      </c>
      <c r="AC209" s="10">
        <f>((M209-S209)/S209)*100</f>
        <v>30.391990442891249</v>
      </c>
      <c r="AD209" s="10">
        <f>((M209-T209)/T209)*100</f>
        <v>4.6552347530747564</v>
      </c>
      <c r="AE209" s="10">
        <f>((M209-U209)/U209)*100</f>
        <v>13.383862321503889</v>
      </c>
      <c r="AI209" s="10">
        <f t="shared" si="201"/>
        <v>0</v>
      </c>
      <c r="AJ209" s="10">
        <f t="shared" si="202"/>
        <v>0</v>
      </c>
      <c r="AK209" s="10">
        <f t="shared" si="203"/>
        <v>0</v>
      </c>
      <c r="AL209" s="10">
        <f t="shared" si="204"/>
        <v>0</v>
      </c>
      <c r="AM209" s="10">
        <f t="shared" si="205"/>
        <v>0</v>
      </c>
      <c r="AN209" s="10">
        <f t="shared" si="206"/>
        <v>0</v>
      </c>
      <c r="AO209" s="10">
        <f t="shared" si="207"/>
        <v>0</v>
      </c>
      <c r="AP209" s="10">
        <f t="shared" si="208"/>
        <v>0</v>
      </c>
    </row>
    <row r="210" spans="1:42" x14ac:dyDescent="0.25">
      <c r="A210">
        <v>9.7000000000000003E-3</v>
      </c>
      <c r="B210">
        <v>0.76921406304299633</v>
      </c>
      <c r="C210">
        <v>0.54869408836840761</v>
      </c>
      <c r="D210">
        <v>0.12298385983778749</v>
      </c>
      <c r="E210">
        <v>0.45148301777498451</v>
      </c>
      <c r="F210">
        <v>0.76779734043013992</v>
      </c>
      <c r="G210">
        <v>0.43529391282149549</v>
      </c>
      <c r="H210">
        <v>0.480926086844148</v>
      </c>
      <c r="I210">
        <v>0.66126524282438093</v>
      </c>
      <c r="J210">
        <v>0.57565159976973557</v>
      </c>
      <c r="M210">
        <f t="shared" si="184"/>
        <v>0.88460703152149822</v>
      </c>
      <c r="N210">
        <f t="shared" si="185"/>
        <v>0.77434704418420375</v>
      </c>
      <c r="O210">
        <f t="shared" si="186"/>
        <v>0.56149192991889374</v>
      </c>
      <c r="P210">
        <f t="shared" si="187"/>
        <v>0.72574150888749223</v>
      </c>
      <c r="Q210">
        <f t="shared" si="188"/>
        <v>0.88389867021506996</v>
      </c>
      <c r="R210">
        <f t="shared" si="189"/>
        <v>0.71764695641074772</v>
      </c>
      <c r="S210">
        <f t="shared" si="190"/>
        <v>0.74046304342207403</v>
      </c>
      <c r="T210">
        <f t="shared" si="191"/>
        <v>0.83063262141219041</v>
      </c>
      <c r="U210">
        <f t="shared" si="192"/>
        <v>0.78782579988486778</v>
      </c>
      <c r="X210">
        <f t="shared" si="193"/>
        <v>0.11025998733729447</v>
      </c>
      <c r="Y210">
        <f t="shared" si="194"/>
        <v>0.32311510160260448</v>
      </c>
      <c r="Z210">
        <f t="shared" si="195"/>
        <v>0.158865522634006</v>
      </c>
      <c r="AA210">
        <f t="shared" si="196"/>
        <v>7.0836130642826234E-4</v>
      </c>
      <c r="AB210">
        <f t="shared" si="197"/>
        <v>0.16696007511075051</v>
      </c>
      <c r="AC210">
        <f t="shared" si="198"/>
        <v>0.14414398809942419</v>
      </c>
      <c r="AD210">
        <f t="shared" si="199"/>
        <v>5.3974410109307813E-2</v>
      </c>
      <c r="AE210">
        <f t="shared" si="200"/>
        <v>9.6781231636630438E-2</v>
      </c>
      <c r="AI210">
        <f t="shared" si="201"/>
        <v>0.22051997467458873</v>
      </c>
      <c r="AJ210">
        <f t="shared" si="202"/>
        <v>0.64623020320520885</v>
      </c>
      <c r="AK210">
        <f t="shared" si="203"/>
        <v>0.31773104526801182</v>
      </c>
      <c r="AL210">
        <f t="shared" si="204"/>
        <v>1.4167226128564137E-3</v>
      </c>
      <c r="AM210">
        <f t="shared" si="205"/>
        <v>0.33392015022150084</v>
      </c>
      <c r="AN210">
        <f t="shared" si="206"/>
        <v>0.28828797619884833</v>
      </c>
      <c r="AO210">
        <f t="shared" si="207"/>
        <v>0.1079488202186154</v>
      </c>
      <c r="AP210">
        <f t="shared" si="208"/>
        <v>0.19356246327326077</v>
      </c>
    </row>
    <row r="211" spans="1:42" x14ac:dyDescent="0.25">
      <c r="A211">
        <v>1.18E-2</v>
      </c>
      <c r="B211">
        <v>0.79716868195174351</v>
      </c>
      <c r="C211">
        <v>0.55931724868425503</v>
      </c>
      <c r="D211">
        <v>0.1196881476732537</v>
      </c>
      <c r="E211">
        <v>0.46660650815838128</v>
      </c>
      <c r="F211">
        <v>0.76856668326722744</v>
      </c>
      <c r="G211">
        <v>0.45101939961725662</v>
      </c>
      <c r="H211">
        <v>0.4638949105190896</v>
      </c>
      <c r="I211">
        <v>0.6759849526084607</v>
      </c>
      <c r="J211">
        <v>0.58101366255416631</v>
      </c>
      <c r="M211">
        <f t="shared" si="184"/>
        <v>0.89858434097587181</v>
      </c>
      <c r="N211">
        <f t="shared" si="185"/>
        <v>0.77965862434212752</v>
      </c>
      <c r="O211">
        <f t="shared" si="186"/>
        <v>0.55984407383662682</v>
      </c>
      <c r="P211">
        <f t="shared" si="187"/>
        <v>0.73330325407919061</v>
      </c>
      <c r="Q211">
        <f t="shared" si="188"/>
        <v>0.88428334163361377</v>
      </c>
      <c r="R211">
        <f t="shared" si="189"/>
        <v>0.72550969980862834</v>
      </c>
      <c r="S211">
        <f t="shared" si="190"/>
        <v>0.73194745525954485</v>
      </c>
      <c r="T211">
        <f t="shared" si="191"/>
        <v>0.83799247630423035</v>
      </c>
      <c r="U211">
        <f t="shared" si="192"/>
        <v>0.7905068312770831</v>
      </c>
      <c r="X211">
        <f t="shared" si="193"/>
        <v>0.11892571663374429</v>
      </c>
      <c r="Y211">
        <f t="shared" si="194"/>
        <v>0.33874026713924499</v>
      </c>
      <c r="Z211">
        <f t="shared" si="195"/>
        <v>0.1652810868966812</v>
      </c>
      <c r="AA211">
        <f t="shared" si="196"/>
        <v>1.4300999342258036E-2</v>
      </c>
      <c r="AB211">
        <f t="shared" si="197"/>
        <v>0.17307464116724347</v>
      </c>
      <c r="AC211">
        <f t="shared" si="198"/>
        <v>0.16663688571632695</v>
      </c>
      <c r="AD211">
        <f t="shared" si="199"/>
        <v>6.059186467164146E-2</v>
      </c>
      <c r="AE211">
        <f t="shared" si="200"/>
        <v>0.10807750969878871</v>
      </c>
      <c r="AI211">
        <f t="shared" si="201"/>
        <v>0.23785143326748848</v>
      </c>
      <c r="AJ211">
        <f t="shared" si="202"/>
        <v>0.67748053427848975</v>
      </c>
      <c r="AK211">
        <f t="shared" si="203"/>
        <v>0.33056217379336222</v>
      </c>
      <c r="AL211">
        <f t="shared" si="204"/>
        <v>2.8601998684516072E-2</v>
      </c>
      <c r="AM211">
        <f t="shared" si="205"/>
        <v>0.34614928233448689</v>
      </c>
      <c r="AN211">
        <f t="shared" si="206"/>
        <v>0.33327377143265391</v>
      </c>
      <c r="AO211">
        <f t="shared" si="207"/>
        <v>0.12118372934328281</v>
      </c>
      <c r="AP211">
        <f t="shared" si="208"/>
        <v>0.2161550193975772</v>
      </c>
    </row>
    <row r="212" spans="1:42" x14ac:dyDescent="0.25">
      <c r="A212">
        <v>1.4E-2</v>
      </c>
      <c r="B212">
        <v>0.8256165119727461</v>
      </c>
      <c r="C212">
        <v>0.56240860446587726</v>
      </c>
      <c r="D212">
        <v>0.1203981024213221</v>
      </c>
      <c r="E212">
        <v>0.46717283227020562</v>
      </c>
      <c r="F212">
        <v>0.77995206106231307</v>
      </c>
      <c r="G212">
        <v>0.45220032289364198</v>
      </c>
      <c r="H212">
        <v>0.4665729844572814</v>
      </c>
      <c r="I212">
        <v>0.68709496019989702</v>
      </c>
      <c r="J212">
        <v>0.58372170610202012</v>
      </c>
      <c r="M212">
        <f t="shared" si="184"/>
        <v>0.91280825598637305</v>
      </c>
      <c r="N212">
        <f t="shared" si="185"/>
        <v>0.78120430223293869</v>
      </c>
      <c r="O212">
        <f t="shared" si="186"/>
        <v>0.56019905121066105</v>
      </c>
      <c r="P212">
        <f t="shared" si="187"/>
        <v>0.73358641613510278</v>
      </c>
      <c r="Q212">
        <f t="shared" si="188"/>
        <v>0.88997603053115659</v>
      </c>
      <c r="R212">
        <f t="shared" si="189"/>
        <v>0.72610016144682099</v>
      </c>
      <c r="S212">
        <f t="shared" si="190"/>
        <v>0.73328649222864073</v>
      </c>
      <c r="T212">
        <f t="shared" si="191"/>
        <v>0.84354748009994851</v>
      </c>
      <c r="U212">
        <f t="shared" si="192"/>
        <v>0.79186085305101006</v>
      </c>
      <c r="X212">
        <f t="shared" si="193"/>
        <v>0.13160395375343437</v>
      </c>
      <c r="Y212">
        <f t="shared" si="194"/>
        <v>0.352609204775712</v>
      </c>
      <c r="Z212">
        <f t="shared" si="195"/>
        <v>0.17922183985127027</v>
      </c>
      <c r="AA212">
        <f t="shared" si="196"/>
        <v>2.2832225455216459E-2</v>
      </c>
      <c r="AB212">
        <f t="shared" si="197"/>
        <v>0.18670809453955206</v>
      </c>
      <c r="AC212">
        <f t="shared" si="198"/>
        <v>0.17952176375773232</v>
      </c>
      <c r="AD212">
        <f t="shared" si="199"/>
        <v>6.9260775886424542E-2</v>
      </c>
      <c r="AE212">
        <f t="shared" si="200"/>
        <v>0.12094740293536299</v>
      </c>
      <c r="AI212">
        <f t="shared" si="201"/>
        <v>0.26320790750686884</v>
      </c>
      <c r="AJ212">
        <f t="shared" si="202"/>
        <v>0.70521840955142401</v>
      </c>
      <c r="AK212">
        <f t="shared" si="203"/>
        <v>0.35844367970254049</v>
      </c>
      <c r="AL212">
        <f t="shared" si="204"/>
        <v>4.566445091043303E-2</v>
      </c>
      <c r="AM212">
        <f t="shared" si="205"/>
        <v>0.37341618907910412</v>
      </c>
      <c r="AN212">
        <f t="shared" si="206"/>
        <v>0.3590435275154647</v>
      </c>
      <c r="AO212">
        <f t="shared" si="207"/>
        <v>0.13852155177284908</v>
      </c>
      <c r="AP212">
        <f t="shared" si="208"/>
        <v>0.24189480587072598</v>
      </c>
    </row>
    <row r="213" spans="1:42" x14ac:dyDescent="0.25">
      <c r="A213">
        <v>1.61E-2</v>
      </c>
      <c r="B213">
        <v>0.85887732312219178</v>
      </c>
      <c r="C213">
        <v>0.56572385761038602</v>
      </c>
      <c r="D213">
        <v>0.12469528649319329</v>
      </c>
      <c r="E213">
        <v>0.47263991381711479</v>
      </c>
      <c r="F213">
        <v>0.78271531368157188</v>
      </c>
      <c r="G213">
        <v>0.46048753668460629</v>
      </c>
      <c r="H213">
        <v>0.46412928088684752</v>
      </c>
      <c r="I213">
        <v>0.69979347636051537</v>
      </c>
      <c r="J213">
        <v>0.58402850949461338</v>
      </c>
      <c r="M213">
        <f t="shared" si="184"/>
        <v>0.92943866156109589</v>
      </c>
      <c r="N213">
        <f t="shared" si="185"/>
        <v>0.78286192880519301</v>
      </c>
      <c r="O213">
        <f t="shared" si="186"/>
        <v>0.5623476432465967</v>
      </c>
      <c r="P213">
        <f t="shared" si="187"/>
        <v>0.73631995690855745</v>
      </c>
      <c r="Q213">
        <f t="shared" si="188"/>
        <v>0.89135765684078594</v>
      </c>
      <c r="R213">
        <f t="shared" si="189"/>
        <v>0.73024376834230309</v>
      </c>
      <c r="S213">
        <f t="shared" si="190"/>
        <v>0.73206464044342379</v>
      </c>
      <c r="T213">
        <f t="shared" si="191"/>
        <v>0.84989673818025768</v>
      </c>
      <c r="U213">
        <f t="shared" si="192"/>
        <v>0.79201425474730669</v>
      </c>
      <c r="X213">
        <f t="shared" si="193"/>
        <v>0.14657673275590288</v>
      </c>
      <c r="Y213">
        <f t="shared" si="194"/>
        <v>0.3670910183144992</v>
      </c>
      <c r="Z213">
        <f t="shared" si="195"/>
        <v>0.19311870465253844</v>
      </c>
      <c r="AA213">
        <f t="shared" si="196"/>
        <v>3.8081004720309952E-2</v>
      </c>
      <c r="AB213">
        <f t="shared" si="197"/>
        <v>0.1991948932187928</v>
      </c>
      <c r="AC213">
        <f t="shared" si="198"/>
        <v>0.1973740211176721</v>
      </c>
      <c r="AD213">
        <f t="shared" si="199"/>
        <v>7.9541923380838209E-2</v>
      </c>
      <c r="AE213">
        <f t="shared" si="200"/>
        <v>0.1374244068137892</v>
      </c>
      <c r="AI213">
        <f t="shared" si="201"/>
        <v>0.29315346551180577</v>
      </c>
      <c r="AJ213">
        <f t="shared" si="202"/>
        <v>0.7341820366289985</v>
      </c>
      <c r="AK213">
        <f t="shared" si="203"/>
        <v>0.386237409305077</v>
      </c>
      <c r="AL213">
        <f t="shared" si="204"/>
        <v>7.6162009440619904E-2</v>
      </c>
      <c r="AM213">
        <f t="shared" si="205"/>
        <v>0.39838978643758549</v>
      </c>
      <c r="AN213">
        <f t="shared" si="206"/>
        <v>0.39474804223534427</v>
      </c>
      <c r="AO213">
        <f t="shared" si="207"/>
        <v>0.15908384676167642</v>
      </c>
      <c r="AP213">
        <f t="shared" si="208"/>
        <v>0.2748488136275784</v>
      </c>
    </row>
    <row r="214" spans="1:42" x14ac:dyDescent="0.25">
      <c r="A214">
        <v>1.83E-2</v>
      </c>
      <c r="B214">
        <v>0.90513696451543679</v>
      </c>
      <c r="C214">
        <v>0.57112070746597066</v>
      </c>
      <c r="D214">
        <v>0.1301387815485569</v>
      </c>
      <c r="E214">
        <v>0.48279562056174158</v>
      </c>
      <c r="F214">
        <v>0.78347628418935022</v>
      </c>
      <c r="G214">
        <v>0.47495966682500929</v>
      </c>
      <c r="H214">
        <v>0.4578787790802325</v>
      </c>
      <c r="I214">
        <v>0.71108214043974161</v>
      </c>
      <c r="J214">
        <v>0.58877627876516936</v>
      </c>
      <c r="M214">
        <f t="shared" si="184"/>
        <v>0.9525684822577184</v>
      </c>
      <c r="N214">
        <f t="shared" si="185"/>
        <v>0.78556035373298538</v>
      </c>
      <c r="O214">
        <f t="shared" si="186"/>
        <v>0.56506939077427842</v>
      </c>
      <c r="P214">
        <f t="shared" si="187"/>
        <v>0.74139781028087082</v>
      </c>
      <c r="Q214">
        <f t="shared" si="188"/>
        <v>0.89173814209467506</v>
      </c>
      <c r="R214">
        <f t="shared" si="189"/>
        <v>0.73747983341250467</v>
      </c>
      <c r="S214">
        <f t="shared" si="190"/>
        <v>0.72893938954011628</v>
      </c>
      <c r="T214">
        <f t="shared" si="191"/>
        <v>0.8555410702198708</v>
      </c>
      <c r="U214">
        <f t="shared" si="192"/>
        <v>0.79438813938258468</v>
      </c>
      <c r="X214">
        <f t="shared" si="193"/>
        <v>0.16700812852473301</v>
      </c>
      <c r="Y214">
        <f t="shared" si="194"/>
        <v>0.38749909148343997</v>
      </c>
      <c r="Z214">
        <f t="shared" si="195"/>
        <v>0.21117067197684758</v>
      </c>
      <c r="AA214">
        <f t="shared" si="196"/>
        <v>6.0830340163043339E-2</v>
      </c>
      <c r="AB214">
        <f t="shared" si="197"/>
        <v>0.21508864884521373</v>
      </c>
      <c r="AC214">
        <f t="shared" si="198"/>
        <v>0.22362909271760212</v>
      </c>
      <c r="AD214">
        <f t="shared" si="199"/>
        <v>9.7027412037847593E-2</v>
      </c>
      <c r="AE214">
        <f t="shared" si="200"/>
        <v>0.15818034287513372</v>
      </c>
      <c r="AI214">
        <f t="shared" si="201"/>
        <v>0.33401625704946614</v>
      </c>
      <c r="AJ214">
        <f t="shared" si="202"/>
        <v>0.77499818296687994</v>
      </c>
      <c r="AK214">
        <f t="shared" si="203"/>
        <v>0.42234134395369521</v>
      </c>
      <c r="AL214">
        <f t="shared" si="204"/>
        <v>0.12166068032608657</v>
      </c>
      <c r="AM214">
        <f t="shared" si="205"/>
        <v>0.43017729769042751</v>
      </c>
      <c r="AN214">
        <f t="shared" si="206"/>
        <v>0.44725818543520429</v>
      </c>
      <c r="AO214">
        <f t="shared" si="207"/>
        <v>0.19405482407569519</v>
      </c>
      <c r="AP214">
        <f t="shared" si="208"/>
        <v>0.31636068575026743</v>
      </c>
    </row>
    <row r="215" spans="1:42" x14ac:dyDescent="0.25">
      <c r="A215">
        <v>2.0400000000000001E-2</v>
      </c>
      <c r="B215">
        <v>0.91310146660415359</v>
      </c>
      <c r="C215">
        <v>0.57246114807292858</v>
      </c>
      <c r="D215">
        <v>0.13612379492105889</v>
      </c>
      <c r="E215">
        <v>0.4840982199744629</v>
      </c>
      <c r="F215">
        <v>0.7862353921189208</v>
      </c>
      <c r="G215">
        <v>0.47840876690056561</v>
      </c>
      <c r="H215">
        <v>0.45806302257259718</v>
      </c>
      <c r="I215">
        <v>0.71687860805402626</v>
      </c>
      <c r="J215">
        <v>0.59046510564283272</v>
      </c>
      <c r="K215">
        <f>MIN(C210:J219)</f>
        <v>0.1196881476732537</v>
      </c>
      <c r="M215">
        <f t="shared" si="184"/>
        <v>0.95655073330207685</v>
      </c>
      <c r="N215">
        <f t="shared" si="185"/>
        <v>0.78623057403646435</v>
      </c>
      <c r="O215">
        <f t="shared" si="186"/>
        <v>0.56806189746052949</v>
      </c>
      <c r="P215">
        <f t="shared" si="187"/>
        <v>0.7420491099872315</v>
      </c>
      <c r="Q215">
        <f t="shared" si="188"/>
        <v>0.89311769605946045</v>
      </c>
      <c r="R215">
        <f t="shared" si="189"/>
        <v>0.73920438345028283</v>
      </c>
      <c r="S215">
        <f t="shared" si="190"/>
        <v>0.72903151128629862</v>
      </c>
      <c r="T215">
        <f t="shared" si="191"/>
        <v>0.85843930402701307</v>
      </c>
      <c r="U215">
        <f t="shared" si="192"/>
        <v>0.79523255282141636</v>
      </c>
      <c r="X215">
        <f t="shared" si="193"/>
        <v>0.1703201592656125</v>
      </c>
      <c r="Y215">
        <f t="shared" si="194"/>
        <v>0.38848883584154736</v>
      </c>
      <c r="Z215">
        <f t="shared" si="195"/>
        <v>0.21450162331484535</v>
      </c>
      <c r="AA215">
        <f t="shared" si="196"/>
        <v>6.3433037242616397E-2</v>
      </c>
      <c r="AB215">
        <f t="shared" si="197"/>
        <v>0.21734634985179402</v>
      </c>
      <c r="AC215">
        <f t="shared" si="198"/>
        <v>0.22751922201577823</v>
      </c>
      <c r="AD215">
        <f t="shared" si="199"/>
        <v>9.8111429275063777E-2</v>
      </c>
      <c r="AE215">
        <f t="shared" si="200"/>
        <v>0.16131818048066049</v>
      </c>
      <c r="AI215">
        <f t="shared" si="201"/>
        <v>0.34064031853122501</v>
      </c>
      <c r="AJ215">
        <f t="shared" si="202"/>
        <v>0.77697767168309473</v>
      </c>
      <c r="AK215">
        <f t="shared" si="203"/>
        <v>0.42900324662969069</v>
      </c>
      <c r="AL215">
        <f t="shared" si="204"/>
        <v>0.12686607448523279</v>
      </c>
      <c r="AM215">
        <f t="shared" si="205"/>
        <v>0.43469269970358798</v>
      </c>
      <c r="AN215">
        <f t="shared" si="206"/>
        <v>0.45503844403155641</v>
      </c>
      <c r="AO215">
        <f t="shared" si="207"/>
        <v>0.19622285855012733</v>
      </c>
      <c r="AP215">
        <f t="shared" si="208"/>
        <v>0.32263636096132087</v>
      </c>
    </row>
    <row r="216" spans="1:42" x14ac:dyDescent="0.25">
      <c r="A216">
        <v>2.2599999999999999E-2</v>
      </c>
      <c r="B216">
        <v>0.88200311755007432</v>
      </c>
      <c r="C216">
        <v>0.57103094197578641</v>
      </c>
      <c r="D216">
        <v>0.14153294367800159</v>
      </c>
      <c r="E216">
        <v>0.48562026289201371</v>
      </c>
      <c r="F216">
        <v>0.79248506844748723</v>
      </c>
      <c r="G216">
        <v>0.47980617646211848</v>
      </c>
      <c r="H216">
        <v>0.46008885597443588</v>
      </c>
      <c r="I216">
        <v>0.72356179659835973</v>
      </c>
      <c r="J216">
        <v>0.59284396569345954</v>
      </c>
      <c r="K216">
        <f>MAX(C210:J219)</f>
        <v>0.79741481214999776</v>
      </c>
      <c r="M216">
        <f t="shared" si="184"/>
        <v>0.94100155877503711</v>
      </c>
      <c r="N216">
        <f t="shared" si="185"/>
        <v>0.78551547098789321</v>
      </c>
      <c r="O216">
        <f t="shared" si="186"/>
        <v>0.57076647183900076</v>
      </c>
      <c r="P216">
        <f t="shared" si="187"/>
        <v>0.74281013144600683</v>
      </c>
      <c r="Q216">
        <f t="shared" si="188"/>
        <v>0.89624253422374367</v>
      </c>
      <c r="R216">
        <f t="shared" si="189"/>
        <v>0.73990308823105921</v>
      </c>
      <c r="S216">
        <f t="shared" si="190"/>
        <v>0.73004442798721791</v>
      </c>
      <c r="T216">
        <f t="shared" si="191"/>
        <v>0.86178089829917992</v>
      </c>
      <c r="U216">
        <f t="shared" si="192"/>
        <v>0.79642198284672983</v>
      </c>
      <c r="X216">
        <f t="shared" si="193"/>
        <v>0.1554860877871439</v>
      </c>
      <c r="Y216">
        <f t="shared" si="194"/>
        <v>0.37023508693603635</v>
      </c>
      <c r="Z216">
        <f t="shared" si="195"/>
        <v>0.19819142732903028</v>
      </c>
      <c r="AA216">
        <f t="shared" si="196"/>
        <v>4.4759024551293436E-2</v>
      </c>
      <c r="AB216">
        <f t="shared" si="197"/>
        <v>0.20109847054397789</v>
      </c>
      <c r="AC216">
        <f t="shared" si="198"/>
        <v>0.21095713078781919</v>
      </c>
      <c r="AD216">
        <f t="shared" si="199"/>
        <v>7.9220660475857185E-2</v>
      </c>
      <c r="AE216">
        <f t="shared" si="200"/>
        <v>0.14457957592830728</v>
      </c>
      <c r="AI216">
        <f t="shared" si="201"/>
        <v>0.31097217557428791</v>
      </c>
      <c r="AJ216">
        <f t="shared" si="202"/>
        <v>0.7404701738720727</v>
      </c>
      <c r="AK216">
        <f t="shared" si="203"/>
        <v>0.39638285465806061</v>
      </c>
      <c r="AL216">
        <f t="shared" si="204"/>
        <v>8.9518049102587094E-2</v>
      </c>
      <c r="AM216">
        <f t="shared" si="205"/>
        <v>0.40219694108795584</v>
      </c>
      <c r="AN216">
        <f t="shared" si="206"/>
        <v>0.42191426157563844</v>
      </c>
      <c r="AO216">
        <f t="shared" si="207"/>
        <v>0.15844132095171459</v>
      </c>
      <c r="AP216">
        <f t="shared" si="208"/>
        <v>0.28915915185661478</v>
      </c>
    </row>
    <row r="217" spans="1:42" x14ac:dyDescent="0.25">
      <c r="A217">
        <v>2.47E-2</v>
      </c>
      <c r="B217">
        <v>0.86734026952722154</v>
      </c>
      <c r="C217">
        <v>0.5775731253888613</v>
      </c>
      <c r="D217">
        <v>0.14641131103671581</v>
      </c>
      <c r="E217">
        <v>0.49075975853392739</v>
      </c>
      <c r="F217">
        <v>0.79741481214999776</v>
      </c>
      <c r="G217">
        <v>0.4816111891554305</v>
      </c>
      <c r="H217">
        <v>0.46130324996328081</v>
      </c>
      <c r="I217">
        <v>0.73096542508907347</v>
      </c>
      <c r="J217">
        <v>0.60092531400925375</v>
      </c>
      <c r="M217">
        <f t="shared" si="184"/>
        <v>0.93367013476361072</v>
      </c>
      <c r="N217">
        <f t="shared" si="185"/>
        <v>0.78878656269443059</v>
      </c>
      <c r="O217">
        <f t="shared" si="186"/>
        <v>0.57320565551835789</v>
      </c>
      <c r="P217">
        <f t="shared" si="187"/>
        <v>0.7453798792669637</v>
      </c>
      <c r="Q217">
        <f t="shared" si="188"/>
        <v>0.89870740607499888</v>
      </c>
      <c r="R217">
        <f t="shared" si="189"/>
        <v>0.74080559457771522</v>
      </c>
      <c r="S217">
        <f t="shared" si="190"/>
        <v>0.73065162498164038</v>
      </c>
      <c r="T217">
        <f t="shared" si="191"/>
        <v>0.86548271254453679</v>
      </c>
      <c r="U217">
        <f t="shared" si="192"/>
        <v>0.80046265700462693</v>
      </c>
      <c r="X217">
        <f t="shared" si="193"/>
        <v>0.14488357206918012</v>
      </c>
      <c r="Y217">
        <f t="shared" si="194"/>
        <v>0.36046447924525282</v>
      </c>
      <c r="Z217">
        <f t="shared" si="195"/>
        <v>0.18829025549664702</v>
      </c>
      <c r="AA217">
        <f t="shared" si="196"/>
        <v>3.4962728688611833E-2</v>
      </c>
      <c r="AB217">
        <f t="shared" si="197"/>
        <v>0.19286454018589549</v>
      </c>
      <c r="AC217">
        <f t="shared" si="198"/>
        <v>0.20301850978197034</v>
      </c>
      <c r="AD217">
        <f t="shared" si="199"/>
        <v>6.8187422219073923E-2</v>
      </c>
      <c r="AE217">
        <f t="shared" si="200"/>
        <v>0.13320747775898378</v>
      </c>
      <c r="AI217">
        <f t="shared" si="201"/>
        <v>0.28976714413836024</v>
      </c>
      <c r="AJ217">
        <f t="shared" si="202"/>
        <v>0.72092895849050576</v>
      </c>
      <c r="AK217">
        <f t="shared" si="203"/>
        <v>0.37658051099329415</v>
      </c>
      <c r="AL217">
        <f t="shared" si="204"/>
        <v>6.9925457377223776E-2</v>
      </c>
      <c r="AM217">
        <f t="shared" si="205"/>
        <v>0.38572908037179104</v>
      </c>
      <c r="AN217">
        <f t="shared" si="206"/>
        <v>0.40603701956394073</v>
      </c>
      <c r="AO217">
        <f t="shared" si="207"/>
        <v>0.13637484443814807</v>
      </c>
      <c r="AP217">
        <f t="shared" si="208"/>
        <v>0.26641495551796779</v>
      </c>
    </row>
    <row r="218" spans="1:42" x14ac:dyDescent="0.25">
      <c r="A218">
        <v>2.69E-2</v>
      </c>
      <c r="B218">
        <v>0.84825968291173792</v>
      </c>
      <c r="C218">
        <v>0.58401704566329204</v>
      </c>
      <c r="D218">
        <v>0.14364987519447431</v>
      </c>
      <c r="E218">
        <v>0.50559410270636818</v>
      </c>
      <c r="F218">
        <v>0.79591742480109129</v>
      </c>
      <c r="G218">
        <v>0.49884388962076759</v>
      </c>
      <c r="H218">
        <v>0.4523960394177321</v>
      </c>
      <c r="I218">
        <v>0.74264396106760344</v>
      </c>
      <c r="J218">
        <v>0.60141864658587485</v>
      </c>
      <c r="M218">
        <f t="shared" si="184"/>
        <v>0.92412984145586896</v>
      </c>
      <c r="N218">
        <f t="shared" si="185"/>
        <v>0.79200852283164602</v>
      </c>
      <c r="O218">
        <f t="shared" si="186"/>
        <v>0.57182493759723718</v>
      </c>
      <c r="P218">
        <f t="shared" si="187"/>
        <v>0.75279705135318409</v>
      </c>
      <c r="Q218">
        <f t="shared" si="188"/>
        <v>0.8979587124005457</v>
      </c>
      <c r="R218">
        <f t="shared" si="189"/>
        <v>0.74942194481038382</v>
      </c>
      <c r="S218">
        <f t="shared" si="190"/>
        <v>0.72619801970886599</v>
      </c>
      <c r="T218">
        <f t="shared" si="191"/>
        <v>0.87132198053380172</v>
      </c>
      <c r="U218">
        <f t="shared" si="192"/>
        <v>0.80070932329293742</v>
      </c>
      <c r="X218">
        <f t="shared" si="193"/>
        <v>0.13212131862422294</v>
      </c>
      <c r="Y218">
        <f t="shared" si="194"/>
        <v>0.35230490385863178</v>
      </c>
      <c r="Z218">
        <f t="shared" si="195"/>
        <v>0.17133279010268487</v>
      </c>
      <c r="AA218">
        <f t="shared" si="196"/>
        <v>2.6171129055323261E-2</v>
      </c>
      <c r="AB218">
        <f t="shared" si="197"/>
        <v>0.17470789664548514</v>
      </c>
      <c r="AC218">
        <f t="shared" si="198"/>
        <v>0.19793182174700297</v>
      </c>
      <c r="AD218">
        <f t="shared" si="199"/>
        <v>5.280786092206724E-2</v>
      </c>
      <c r="AE218">
        <f t="shared" si="200"/>
        <v>0.12342051816293154</v>
      </c>
      <c r="AI218">
        <f t="shared" si="201"/>
        <v>0.26424263724844588</v>
      </c>
      <c r="AJ218">
        <f t="shared" si="202"/>
        <v>0.70460980771726356</v>
      </c>
      <c r="AK218">
        <f t="shared" si="203"/>
        <v>0.34266558020536975</v>
      </c>
      <c r="AL218">
        <f t="shared" si="204"/>
        <v>5.2342258110646633E-2</v>
      </c>
      <c r="AM218">
        <f t="shared" si="205"/>
        <v>0.34941579329097033</v>
      </c>
      <c r="AN218">
        <f t="shared" si="206"/>
        <v>0.39586364349400582</v>
      </c>
      <c r="AO218">
        <f t="shared" si="207"/>
        <v>0.10561572184413448</v>
      </c>
      <c r="AP218">
        <f t="shared" si="208"/>
        <v>0.24684103632586307</v>
      </c>
    </row>
    <row r="219" spans="1:42" x14ac:dyDescent="0.25">
      <c r="A219">
        <v>2.9000000000000001E-2</v>
      </c>
      <c r="B219">
        <v>0.83727855592305844</v>
      </c>
      <c r="C219">
        <v>0.58897733119063966</v>
      </c>
      <c r="D219">
        <v>0.1461582585396497</v>
      </c>
      <c r="E219">
        <v>0.51193250425374115</v>
      </c>
      <c r="F219">
        <v>0.7961137744973904</v>
      </c>
      <c r="G219">
        <v>0.50372870717996276</v>
      </c>
      <c r="H219">
        <v>0.45350381512760241</v>
      </c>
      <c r="I219">
        <v>0.74884629385844881</v>
      </c>
      <c r="J219">
        <v>0.60443192543687008</v>
      </c>
      <c r="M219">
        <f t="shared" si="184"/>
        <v>0.91863927796152922</v>
      </c>
      <c r="N219">
        <f t="shared" si="185"/>
        <v>0.79448866559531983</v>
      </c>
      <c r="O219">
        <f t="shared" si="186"/>
        <v>0.57307912926982485</v>
      </c>
      <c r="P219">
        <f t="shared" si="187"/>
        <v>0.75596625212687063</v>
      </c>
      <c r="Q219">
        <f t="shared" si="188"/>
        <v>0.89805688724869515</v>
      </c>
      <c r="R219">
        <f t="shared" si="189"/>
        <v>0.75186435358998138</v>
      </c>
      <c r="S219">
        <f t="shared" si="190"/>
        <v>0.72675190756380115</v>
      </c>
      <c r="T219">
        <f t="shared" si="191"/>
        <v>0.8744231469292244</v>
      </c>
      <c r="U219">
        <f t="shared" si="192"/>
        <v>0.80221596271843509</v>
      </c>
      <c r="X219">
        <f t="shared" si="193"/>
        <v>0.12415061236620939</v>
      </c>
      <c r="Y219">
        <f t="shared" si="194"/>
        <v>0.34556014869170437</v>
      </c>
      <c r="Z219">
        <f t="shared" si="195"/>
        <v>0.16267302583465859</v>
      </c>
      <c r="AA219">
        <f t="shared" si="196"/>
        <v>2.0582390712834076E-2</v>
      </c>
      <c r="AB219">
        <f t="shared" si="197"/>
        <v>0.16677492437154784</v>
      </c>
      <c r="AC219">
        <f t="shared" si="198"/>
        <v>0.19188737039772807</v>
      </c>
      <c r="AD219">
        <f t="shared" si="199"/>
        <v>4.4216131032304817E-2</v>
      </c>
      <c r="AE219">
        <f t="shared" si="200"/>
        <v>0.11642331524309413</v>
      </c>
      <c r="AF219">
        <f>COUNT(X210:X219)</f>
        <v>10</v>
      </c>
      <c r="AI219">
        <f t="shared" si="201"/>
        <v>0.24830122473241878</v>
      </c>
      <c r="AJ219">
        <f t="shared" si="202"/>
        <v>0.69112029738340874</v>
      </c>
      <c r="AK219">
        <f t="shared" si="203"/>
        <v>0.32534605166931729</v>
      </c>
      <c r="AL219">
        <f t="shared" si="204"/>
        <v>4.116478142566804E-2</v>
      </c>
      <c r="AM219">
        <f t="shared" si="205"/>
        <v>0.33354984874309568</v>
      </c>
      <c r="AN219">
        <f t="shared" si="206"/>
        <v>0.38377474079545604</v>
      </c>
      <c r="AO219">
        <f t="shared" si="207"/>
        <v>8.8432262064609635E-2</v>
      </c>
      <c r="AP219">
        <f t="shared" si="208"/>
        <v>0.23284663048618837</v>
      </c>
    </row>
    <row r="220" spans="1:42" s="10" customFormat="1" x14ac:dyDescent="0.25">
      <c r="A220" s="10" t="s">
        <v>42</v>
      </c>
      <c r="M220" s="10">
        <f>AVERAGE(M210:M219)</f>
        <v>0.92519983185606802</v>
      </c>
      <c r="N220" s="10">
        <f t="shared" ref="N220" si="225">AVERAGE(N210:N219)</f>
        <v>0.78506620494432022</v>
      </c>
      <c r="O220" s="10">
        <f t="shared" ref="O220" si="226">AVERAGE(O210:O219)</f>
        <v>0.56658901806720074</v>
      </c>
      <c r="P220" s="10">
        <f t="shared" ref="P220" si="227">AVERAGE(P210:P219)</f>
        <v>0.74093513704714709</v>
      </c>
      <c r="Q220" s="10">
        <f t="shared" ref="Q220" si="228">AVERAGE(Q210:Q219)</f>
        <v>0.89253370773227458</v>
      </c>
      <c r="R220" s="10">
        <f t="shared" ref="R220" si="229">AVERAGE(R210:R219)</f>
        <v>0.73581797840804275</v>
      </c>
      <c r="S220" s="10">
        <f t="shared" ref="S220" si="230">AVERAGE(S210:S219)</f>
        <v>0.73093785124216226</v>
      </c>
      <c r="T220" s="10">
        <f t="shared" ref="T220" si="231">AVERAGE(T210:T219)</f>
        <v>0.85490584285502536</v>
      </c>
      <c r="U220" s="10">
        <f t="shared" ref="U220" si="232">AVERAGE(U210:U219)</f>
        <v>0.79516383570269977</v>
      </c>
      <c r="X220" s="10">
        <f>((M220-N220)/N220)*100</f>
        <v>17.849912023876584</v>
      </c>
      <c r="Y220" s="10">
        <f>((M220-O220)/O220)*100</f>
        <v>63.292934093956255</v>
      </c>
      <c r="Z220" s="10">
        <f>((M220-P220)/P220)*100</f>
        <v>24.869207248460647</v>
      </c>
      <c r="AA220" s="10">
        <f>((M220-Q220)/Q220)*100</f>
        <v>3.6599317023880964</v>
      </c>
      <c r="AB220" s="10">
        <f>((M220-R220)/R220)*100</f>
        <v>25.737595302816164</v>
      </c>
      <c r="AC220" s="10">
        <f>((M220-S220)/S220)*100</f>
        <v>26.577085901869118</v>
      </c>
      <c r="AD220" s="10">
        <f>((M220-T220)/T220)*100</f>
        <v>8.2224246785225326</v>
      </c>
      <c r="AE220" s="10">
        <f>((M220-U220)/U220)*100</f>
        <v>16.353358932433494</v>
      </c>
      <c r="AI220" s="10">
        <f t="shared" si="201"/>
        <v>0</v>
      </c>
      <c r="AJ220" s="10">
        <f t="shared" si="202"/>
        <v>0</v>
      </c>
      <c r="AK220" s="10">
        <f t="shared" si="203"/>
        <v>0</v>
      </c>
      <c r="AL220" s="10">
        <f t="shared" si="204"/>
        <v>0</v>
      </c>
      <c r="AM220" s="10">
        <f t="shared" si="205"/>
        <v>0</v>
      </c>
      <c r="AN220" s="10">
        <f t="shared" si="206"/>
        <v>0</v>
      </c>
      <c r="AO220" s="10">
        <f t="shared" si="207"/>
        <v>0</v>
      </c>
      <c r="AP220" s="10">
        <f t="shared" si="208"/>
        <v>0</v>
      </c>
    </row>
    <row r="221" spans="1:42" x14ac:dyDescent="0.25">
      <c r="A221">
        <v>9.2700000000000005E-2</v>
      </c>
      <c r="B221">
        <v>0.80615427239740145</v>
      </c>
      <c r="C221">
        <v>0.65383405600684674</v>
      </c>
      <c r="D221">
        <v>0.43216214496852629</v>
      </c>
      <c r="E221">
        <v>0.46784915880032307</v>
      </c>
      <c r="F221">
        <v>0.78873898152901523</v>
      </c>
      <c r="G221">
        <v>0.36189991908883118</v>
      </c>
      <c r="H221">
        <v>0.54211238150386543</v>
      </c>
      <c r="I221">
        <v>0.78351304413407863</v>
      </c>
      <c r="J221">
        <v>0.62166191849941443</v>
      </c>
      <c r="M221">
        <f t="shared" si="184"/>
        <v>0.90307713619870067</v>
      </c>
      <c r="N221">
        <f t="shared" si="185"/>
        <v>0.82691702800342337</v>
      </c>
      <c r="O221">
        <f t="shared" si="186"/>
        <v>0.71608107248426311</v>
      </c>
      <c r="P221">
        <f t="shared" si="187"/>
        <v>0.73392457940016154</v>
      </c>
      <c r="Q221">
        <f t="shared" si="188"/>
        <v>0.89436949076450767</v>
      </c>
      <c r="R221">
        <f t="shared" si="189"/>
        <v>0.68094995954441562</v>
      </c>
      <c r="S221">
        <f t="shared" si="190"/>
        <v>0.77105619075193266</v>
      </c>
      <c r="T221">
        <f t="shared" si="191"/>
        <v>0.89175652206703937</v>
      </c>
      <c r="U221">
        <f t="shared" si="192"/>
        <v>0.81083095924970716</v>
      </c>
      <c r="X221">
        <f t="shared" si="193"/>
        <v>7.6160108195277298E-2</v>
      </c>
      <c r="Y221">
        <f t="shared" si="194"/>
        <v>0.18699606371443755</v>
      </c>
      <c r="Z221">
        <f t="shared" si="195"/>
        <v>0.16915255679853913</v>
      </c>
      <c r="AA221">
        <f t="shared" si="196"/>
        <v>8.707645434193001E-3</v>
      </c>
      <c r="AB221">
        <f t="shared" si="197"/>
        <v>0.22212717665428505</v>
      </c>
      <c r="AC221">
        <f t="shared" si="198"/>
        <v>0.13202094544676801</v>
      </c>
      <c r="AD221">
        <f t="shared" si="199"/>
        <v>1.13206141316613E-2</v>
      </c>
      <c r="AE221">
        <f t="shared" si="200"/>
        <v>9.2246176948993508E-2</v>
      </c>
      <c r="AI221">
        <f t="shared" si="201"/>
        <v>0.15232021639055471</v>
      </c>
      <c r="AJ221">
        <f t="shared" si="202"/>
        <v>0.37399212742887517</v>
      </c>
      <c r="AK221">
        <f t="shared" si="203"/>
        <v>0.33830511359707838</v>
      </c>
      <c r="AL221">
        <f t="shared" si="204"/>
        <v>1.7415290868386224E-2</v>
      </c>
      <c r="AM221">
        <f t="shared" si="205"/>
        <v>0.44425435330857027</v>
      </c>
      <c r="AN221">
        <f t="shared" si="206"/>
        <v>0.26404189089353602</v>
      </c>
      <c r="AO221">
        <f t="shared" si="207"/>
        <v>2.2641228263322821E-2</v>
      </c>
      <c r="AP221">
        <f t="shared" si="208"/>
        <v>0.18449235389798702</v>
      </c>
    </row>
    <row r="222" spans="1:42" x14ac:dyDescent="0.25">
      <c r="A222">
        <v>0.1132</v>
      </c>
      <c r="B222">
        <v>0.82694739956126395</v>
      </c>
      <c r="C222">
        <v>0.64569792588165587</v>
      </c>
      <c r="D222">
        <v>0.41201622919989128</v>
      </c>
      <c r="E222">
        <v>0.48901851313429717</v>
      </c>
      <c r="F222">
        <v>0.75994596380146218</v>
      </c>
      <c r="G222">
        <v>0.39931984245582308</v>
      </c>
      <c r="H222">
        <v>0.5027050590653237</v>
      </c>
      <c r="I222">
        <v>0.7882068153916395</v>
      </c>
      <c r="J222">
        <v>0.60702437469222725</v>
      </c>
      <c r="M222">
        <f t="shared" si="184"/>
        <v>0.91347369978063198</v>
      </c>
      <c r="N222">
        <f t="shared" si="185"/>
        <v>0.82284896294082799</v>
      </c>
      <c r="O222">
        <f t="shared" si="186"/>
        <v>0.70600811459994561</v>
      </c>
      <c r="P222">
        <f t="shared" si="187"/>
        <v>0.74450925656714861</v>
      </c>
      <c r="Q222">
        <f t="shared" si="188"/>
        <v>0.87997298190073114</v>
      </c>
      <c r="R222">
        <f t="shared" si="189"/>
        <v>0.69965992122791154</v>
      </c>
      <c r="S222">
        <f t="shared" si="190"/>
        <v>0.75135252953266185</v>
      </c>
      <c r="T222">
        <f t="shared" si="191"/>
        <v>0.89410340769581975</v>
      </c>
      <c r="U222">
        <f t="shared" si="192"/>
        <v>0.80351218734611363</v>
      </c>
      <c r="X222">
        <f t="shared" si="193"/>
        <v>9.0624736839803988E-2</v>
      </c>
      <c r="Y222">
        <f t="shared" si="194"/>
        <v>0.20746558518068636</v>
      </c>
      <c r="Z222">
        <f t="shared" si="195"/>
        <v>0.16896444321348336</v>
      </c>
      <c r="AA222">
        <f t="shared" si="196"/>
        <v>3.3500717879900832E-2</v>
      </c>
      <c r="AB222">
        <f t="shared" si="197"/>
        <v>0.21381377855272043</v>
      </c>
      <c r="AC222">
        <f t="shared" si="198"/>
        <v>0.16212117024797013</v>
      </c>
      <c r="AD222">
        <f t="shared" si="199"/>
        <v>1.9370292084812224E-2</v>
      </c>
      <c r="AE222">
        <f t="shared" si="200"/>
        <v>0.10996151243451835</v>
      </c>
      <c r="AI222">
        <f t="shared" si="201"/>
        <v>0.18124947367960809</v>
      </c>
      <c r="AJ222">
        <f t="shared" si="202"/>
        <v>0.41493117036137267</v>
      </c>
      <c r="AK222">
        <f t="shared" si="203"/>
        <v>0.33792888642696678</v>
      </c>
      <c r="AL222">
        <f t="shared" si="204"/>
        <v>6.7001435759801775E-2</v>
      </c>
      <c r="AM222">
        <f t="shared" si="205"/>
        <v>0.42762755710544087</v>
      </c>
      <c r="AN222">
        <f t="shared" si="206"/>
        <v>0.32424234049594025</v>
      </c>
      <c r="AO222">
        <f t="shared" si="207"/>
        <v>3.8740584169624448E-2</v>
      </c>
      <c r="AP222">
        <f t="shared" si="208"/>
        <v>0.2199230248690367</v>
      </c>
    </row>
    <row r="223" spans="1:42" x14ac:dyDescent="0.25">
      <c r="A223">
        <v>0.1338</v>
      </c>
      <c r="B223">
        <v>0.83807094499292845</v>
      </c>
      <c r="C223">
        <v>0.63570344594412687</v>
      </c>
      <c r="D223">
        <v>0.39010976708949341</v>
      </c>
      <c r="E223">
        <v>0.51444707296585346</v>
      </c>
      <c r="F223">
        <v>0.72858280806310638</v>
      </c>
      <c r="G223">
        <v>0.42277838573076598</v>
      </c>
      <c r="H223">
        <v>0.46598629240370509</v>
      </c>
      <c r="I223">
        <v>0.78025877631356089</v>
      </c>
      <c r="J223">
        <v>0.58904016870500786</v>
      </c>
      <c r="M223">
        <f t="shared" si="184"/>
        <v>0.91903547249646422</v>
      </c>
      <c r="N223">
        <f t="shared" si="185"/>
        <v>0.81785172297206343</v>
      </c>
      <c r="O223">
        <f t="shared" si="186"/>
        <v>0.69505488354474676</v>
      </c>
      <c r="P223">
        <f t="shared" si="187"/>
        <v>0.75722353648292673</v>
      </c>
      <c r="Q223">
        <f t="shared" si="188"/>
        <v>0.86429140403155325</v>
      </c>
      <c r="R223">
        <f t="shared" si="189"/>
        <v>0.71138919286538305</v>
      </c>
      <c r="S223">
        <f t="shared" si="190"/>
        <v>0.73299314620185252</v>
      </c>
      <c r="T223">
        <f t="shared" si="191"/>
        <v>0.89012938815678044</v>
      </c>
      <c r="U223">
        <f t="shared" si="192"/>
        <v>0.79452008435250399</v>
      </c>
      <c r="X223">
        <f t="shared" si="193"/>
        <v>0.10118374952440079</v>
      </c>
      <c r="Y223">
        <f t="shared" si="194"/>
        <v>0.22398058895171746</v>
      </c>
      <c r="Z223">
        <f t="shared" si="195"/>
        <v>0.16181193601353749</v>
      </c>
      <c r="AA223">
        <f t="shared" si="196"/>
        <v>5.4744068464910978E-2</v>
      </c>
      <c r="AB223">
        <f t="shared" si="197"/>
        <v>0.20764627963108118</v>
      </c>
      <c r="AC223">
        <f t="shared" si="198"/>
        <v>0.1860423262946117</v>
      </c>
      <c r="AD223">
        <f t="shared" si="199"/>
        <v>2.890608433968378E-2</v>
      </c>
      <c r="AE223">
        <f t="shared" si="200"/>
        <v>0.12451538814396024</v>
      </c>
      <c r="AI223">
        <f t="shared" si="201"/>
        <v>0.20236749904880158</v>
      </c>
      <c r="AJ223">
        <f t="shared" si="202"/>
        <v>0.44796117790343504</v>
      </c>
      <c r="AK223">
        <f t="shared" si="203"/>
        <v>0.32362387202707499</v>
      </c>
      <c r="AL223">
        <f t="shared" si="204"/>
        <v>0.10948813692982207</v>
      </c>
      <c r="AM223">
        <f t="shared" si="205"/>
        <v>0.41529255926216246</v>
      </c>
      <c r="AN223">
        <f t="shared" si="206"/>
        <v>0.37208465258922335</v>
      </c>
      <c r="AO223">
        <f t="shared" si="207"/>
        <v>5.7812168679367559E-2</v>
      </c>
      <c r="AP223">
        <f t="shared" si="208"/>
        <v>0.24903077628792059</v>
      </c>
    </row>
    <row r="224" spans="1:42" x14ac:dyDescent="0.25">
      <c r="A224">
        <v>0.15440000000000001</v>
      </c>
      <c r="B224">
        <v>0.8287963186869618</v>
      </c>
      <c r="C224">
        <v>0.62141212857374273</v>
      </c>
      <c r="D224">
        <v>0.37635730229597558</v>
      </c>
      <c r="E224">
        <v>0.53269364509492734</v>
      </c>
      <c r="F224">
        <v>0.69428196436421585</v>
      </c>
      <c r="G224">
        <v>0.43875962351536119</v>
      </c>
      <c r="H224">
        <v>0.43517549795066218</v>
      </c>
      <c r="I224">
        <v>0.75896591664640822</v>
      </c>
      <c r="J224">
        <v>0.57280258513028059</v>
      </c>
      <c r="M224">
        <f t="shared" si="184"/>
        <v>0.9143981593434809</v>
      </c>
      <c r="N224">
        <f t="shared" si="185"/>
        <v>0.81070606428687131</v>
      </c>
      <c r="O224">
        <f t="shared" si="186"/>
        <v>0.68817865114798782</v>
      </c>
      <c r="P224">
        <f t="shared" si="187"/>
        <v>0.76634682254746367</v>
      </c>
      <c r="Q224">
        <f t="shared" si="188"/>
        <v>0.84714098218210787</v>
      </c>
      <c r="R224">
        <f t="shared" si="189"/>
        <v>0.71937981175768062</v>
      </c>
      <c r="S224">
        <f t="shared" si="190"/>
        <v>0.71758774897533106</v>
      </c>
      <c r="T224">
        <f t="shared" si="191"/>
        <v>0.87948295832320411</v>
      </c>
      <c r="U224">
        <f t="shared" si="192"/>
        <v>0.78640129256514024</v>
      </c>
      <c r="X224">
        <f t="shared" si="193"/>
        <v>0.10369209505660959</v>
      </c>
      <c r="Y224">
        <f t="shared" si="194"/>
        <v>0.22621950819549308</v>
      </c>
      <c r="Z224">
        <f t="shared" si="195"/>
        <v>0.14805133679601723</v>
      </c>
      <c r="AA224">
        <f t="shared" si="196"/>
        <v>6.7257177161373027E-2</v>
      </c>
      <c r="AB224">
        <f t="shared" si="197"/>
        <v>0.19501834758580028</v>
      </c>
      <c r="AC224">
        <f t="shared" si="198"/>
        <v>0.19681041036814984</v>
      </c>
      <c r="AD224">
        <f t="shared" si="199"/>
        <v>3.4915201020276787E-2</v>
      </c>
      <c r="AE224">
        <f t="shared" si="200"/>
        <v>0.12799686677834066</v>
      </c>
      <c r="AI224">
        <f t="shared" si="201"/>
        <v>0.20738419011321907</v>
      </c>
      <c r="AJ224">
        <f t="shared" si="202"/>
        <v>0.45243901639098622</v>
      </c>
      <c r="AK224">
        <f t="shared" si="203"/>
        <v>0.29610267359203446</v>
      </c>
      <c r="AL224">
        <f t="shared" si="204"/>
        <v>0.13451435432274594</v>
      </c>
      <c r="AM224">
        <f t="shared" si="205"/>
        <v>0.39003669517160061</v>
      </c>
      <c r="AN224">
        <f t="shared" si="206"/>
        <v>0.39362082073629961</v>
      </c>
      <c r="AO224">
        <f t="shared" si="207"/>
        <v>6.9830402040553574E-2</v>
      </c>
      <c r="AP224">
        <f t="shared" si="208"/>
        <v>0.2559937335566812</v>
      </c>
    </row>
    <row r="225" spans="1:42" x14ac:dyDescent="0.25">
      <c r="A225">
        <v>0.17499999999999999</v>
      </c>
      <c r="B225">
        <v>0.83796294227132595</v>
      </c>
      <c r="C225">
        <v>0.61853104195253195</v>
      </c>
      <c r="D225">
        <v>0.36963742161865482</v>
      </c>
      <c r="E225">
        <v>0.55777910753224791</v>
      </c>
      <c r="F225">
        <v>0.67068712592010482</v>
      </c>
      <c r="G225">
        <v>0.46074732212109271</v>
      </c>
      <c r="H225">
        <v>0.41288671252225689</v>
      </c>
      <c r="I225">
        <v>0.7550271054739045</v>
      </c>
      <c r="J225">
        <v>0.56536213773172905</v>
      </c>
      <c r="M225">
        <f t="shared" si="184"/>
        <v>0.91898147113566298</v>
      </c>
      <c r="N225">
        <f t="shared" si="185"/>
        <v>0.80926552097626603</v>
      </c>
      <c r="O225">
        <f t="shared" si="186"/>
        <v>0.68481871080932744</v>
      </c>
      <c r="P225">
        <f t="shared" si="187"/>
        <v>0.77888955376612401</v>
      </c>
      <c r="Q225">
        <f t="shared" si="188"/>
        <v>0.83534356296005241</v>
      </c>
      <c r="R225">
        <f t="shared" si="189"/>
        <v>0.73037366106054635</v>
      </c>
      <c r="S225">
        <f t="shared" si="190"/>
        <v>0.70644335626112842</v>
      </c>
      <c r="T225">
        <f t="shared" si="191"/>
        <v>0.8775135527369522</v>
      </c>
      <c r="U225">
        <f t="shared" si="192"/>
        <v>0.78268106886586453</v>
      </c>
      <c r="X225">
        <f t="shared" si="193"/>
        <v>0.10971595015939695</v>
      </c>
      <c r="Y225">
        <f t="shared" si="194"/>
        <v>0.23416276032633554</v>
      </c>
      <c r="Z225">
        <f t="shared" si="195"/>
        <v>0.14009191736953897</v>
      </c>
      <c r="AA225">
        <f t="shared" si="196"/>
        <v>8.3637908175610565E-2</v>
      </c>
      <c r="AB225">
        <f t="shared" si="197"/>
        <v>0.18860781007511662</v>
      </c>
      <c r="AC225">
        <f t="shared" si="198"/>
        <v>0.21253811487453456</v>
      </c>
      <c r="AD225">
        <f t="shared" si="199"/>
        <v>4.1467918398710779E-2</v>
      </c>
      <c r="AE225">
        <f t="shared" si="200"/>
        <v>0.13630040226979845</v>
      </c>
      <c r="AI225">
        <f t="shared" si="201"/>
        <v>0.219431900318794</v>
      </c>
      <c r="AJ225">
        <f t="shared" si="202"/>
        <v>0.46832552065267113</v>
      </c>
      <c r="AK225">
        <f t="shared" si="203"/>
        <v>0.28018383473907804</v>
      </c>
      <c r="AL225">
        <f t="shared" si="204"/>
        <v>0.16727581635122113</v>
      </c>
      <c r="AM225">
        <f t="shared" si="205"/>
        <v>0.37721562015023324</v>
      </c>
      <c r="AN225">
        <f t="shared" si="206"/>
        <v>0.42507622974906906</v>
      </c>
      <c r="AO225">
        <f t="shared" si="207"/>
        <v>8.2935836797421447E-2</v>
      </c>
      <c r="AP225">
        <f t="shared" si="208"/>
        <v>0.2726008045395969</v>
      </c>
    </row>
    <row r="226" spans="1:42" x14ac:dyDescent="0.25">
      <c r="A226">
        <v>0.1956</v>
      </c>
      <c r="B226">
        <v>0.81640960923399586</v>
      </c>
      <c r="C226">
        <v>0.60518389278678342</v>
      </c>
      <c r="D226">
        <v>0.35619737330218471</v>
      </c>
      <c r="E226">
        <v>0.58172968417743343</v>
      </c>
      <c r="F226">
        <v>0.63958383722270951</v>
      </c>
      <c r="G226">
        <v>0.4814897350578195</v>
      </c>
      <c r="H226">
        <v>0.38362709730711592</v>
      </c>
      <c r="I226">
        <v>0.73888117070786785</v>
      </c>
      <c r="J226">
        <v>0.55041036273508759</v>
      </c>
      <c r="M226">
        <f t="shared" si="184"/>
        <v>0.90820480461699793</v>
      </c>
      <c r="N226">
        <f t="shared" si="185"/>
        <v>0.80259194639339171</v>
      </c>
      <c r="O226">
        <f t="shared" si="186"/>
        <v>0.6780986866510923</v>
      </c>
      <c r="P226">
        <f t="shared" si="187"/>
        <v>0.79086484208871677</v>
      </c>
      <c r="Q226">
        <f t="shared" si="188"/>
        <v>0.8197919186113547</v>
      </c>
      <c r="R226">
        <f t="shared" si="189"/>
        <v>0.74074486752890978</v>
      </c>
      <c r="S226">
        <f t="shared" si="190"/>
        <v>0.69181354865355793</v>
      </c>
      <c r="T226">
        <f t="shared" si="191"/>
        <v>0.86944058535393398</v>
      </c>
      <c r="U226">
        <f t="shared" si="192"/>
        <v>0.77520518136754379</v>
      </c>
      <c r="X226">
        <f t="shared" si="193"/>
        <v>0.10561285822360622</v>
      </c>
      <c r="Y226">
        <f t="shared" si="194"/>
        <v>0.23010611796590563</v>
      </c>
      <c r="Z226">
        <f t="shared" si="195"/>
        <v>0.11733996252828116</v>
      </c>
      <c r="AA226">
        <f t="shared" si="196"/>
        <v>8.8412886005643232E-2</v>
      </c>
      <c r="AB226">
        <f t="shared" si="197"/>
        <v>0.16745993708808815</v>
      </c>
      <c r="AC226">
        <f t="shared" si="198"/>
        <v>0.21639125596344</v>
      </c>
      <c r="AD226">
        <f t="shared" si="199"/>
        <v>3.8764219263063948E-2</v>
      </c>
      <c r="AE226">
        <f t="shared" si="200"/>
        <v>0.13299962324945414</v>
      </c>
      <c r="AI226">
        <f t="shared" si="201"/>
        <v>0.21122571644721244</v>
      </c>
      <c r="AJ226">
        <f t="shared" si="202"/>
        <v>0.46021223593181115</v>
      </c>
      <c r="AK226">
        <f t="shared" si="203"/>
        <v>0.23467992505656243</v>
      </c>
      <c r="AL226">
        <f t="shared" si="204"/>
        <v>0.17682577201128635</v>
      </c>
      <c r="AM226">
        <f t="shared" si="205"/>
        <v>0.33491987417617636</v>
      </c>
      <c r="AN226">
        <f t="shared" si="206"/>
        <v>0.43278251192687994</v>
      </c>
      <c r="AO226">
        <f t="shared" si="207"/>
        <v>7.7528438526128007E-2</v>
      </c>
      <c r="AP226">
        <f t="shared" si="208"/>
        <v>0.26599924649890827</v>
      </c>
    </row>
    <row r="227" spans="1:42" x14ac:dyDescent="0.25">
      <c r="A227">
        <v>0.2162</v>
      </c>
      <c r="B227">
        <v>0.7902532764441671</v>
      </c>
      <c r="C227">
        <v>0.59791928535689753</v>
      </c>
      <c r="D227">
        <v>0.34828422868242698</v>
      </c>
      <c r="E227">
        <v>0.60731238597569803</v>
      </c>
      <c r="F227">
        <v>0.61207811743090512</v>
      </c>
      <c r="G227">
        <v>0.502731605923739</v>
      </c>
      <c r="H227">
        <v>0.3577022680998026</v>
      </c>
      <c r="I227">
        <v>0.72272621373319446</v>
      </c>
      <c r="J227">
        <v>0.53940989951803786</v>
      </c>
      <c r="M227">
        <f t="shared" si="184"/>
        <v>0.89512663822208349</v>
      </c>
      <c r="N227">
        <f t="shared" si="185"/>
        <v>0.79895964267844877</v>
      </c>
      <c r="O227">
        <f t="shared" si="186"/>
        <v>0.67414211434121352</v>
      </c>
      <c r="P227">
        <f t="shared" si="187"/>
        <v>0.80365619298784896</v>
      </c>
      <c r="Q227">
        <f t="shared" si="188"/>
        <v>0.80603905871545256</v>
      </c>
      <c r="R227">
        <f t="shared" si="189"/>
        <v>0.7513658029618695</v>
      </c>
      <c r="S227">
        <f t="shared" si="190"/>
        <v>0.67885113404990127</v>
      </c>
      <c r="T227">
        <f t="shared" si="191"/>
        <v>0.86136310686659723</v>
      </c>
      <c r="U227">
        <f t="shared" si="192"/>
        <v>0.76970494975901893</v>
      </c>
      <c r="X227">
        <f t="shared" si="193"/>
        <v>9.6166995543634726E-2</v>
      </c>
      <c r="Y227">
        <f t="shared" si="194"/>
        <v>0.22098452388086998</v>
      </c>
      <c r="Z227">
        <f t="shared" si="195"/>
        <v>9.1470445234234532E-2</v>
      </c>
      <c r="AA227">
        <f t="shared" si="196"/>
        <v>8.9087579506630932E-2</v>
      </c>
      <c r="AB227">
        <f t="shared" si="197"/>
        <v>0.14376083526021399</v>
      </c>
      <c r="AC227">
        <f t="shared" si="198"/>
        <v>0.21627550417218222</v>
      </c>
      <c r="AD227">
        <f t="shared" si="199"/>
        <v>3.3763531355486265E-2</v>
      </c>
      <c r="AE227">
        <f t="shared" si="200"/>
        <v>0.12542168846306456</v>
      </c>
      <c r="AI227">
        <f t="shared" si="201"/>
        <v>0.19233399108726956</v>
      </c>
      <c r="AJ227">
        <f t="shared" si="202"/>
        <v>0.44196904776174012</v>
      </c>
      <c r="AK227">
        <f t="shared" si="203"/>
        <v>0.18294089046846906</v>
      </c>
      <c r="AL227">
        <f t="shared" si="204"/>
        <v>0.17817515901326197</v>
      </c>
      <c r="AM227">
        <f t="shared" si="205"/>
        <v>0.2875216705204281</v>
      </c>
      <c r="AN227">
        <f t="shared" si="206"/>
        <v>0.4325510083443645</v>
      </c>
      <c r="AO227">
        <f t="shared" si="207"/>
        <v>6.7527062710972641E-2</v>
      </c>
      <c r="AP227">
        <f t="shared" si="208"/>
        <v>0.25084337692612924</v>
      </c>
    </row>
    <row r="228" spans="1:42" x14ac:dyDescent="0.25">
      <c r="A228">
        <v>0.23680000000000001</v>
      </c>
      <c r="B228">
        <v>0.76143159232462709</v>
      </c>
      <c r="C228">
        <v>0.58001093231954093</v>
      </c>
      <c r="D228">
        <v>0.3302379306244892</v>
      </c>
      <c r="E228">
        <v>0.62734418568757899</v>
      </c>
      <c r="F228">
        <v>0.57853963337587211</v>
      </c>
      <c r="G228">
        <v>0.51079318878654689</v>
      </c>
      <c r="H228">
        <v>0.32731630631647191</v>
      </c>
      <c r="I228">
        <v>0.69756562185642423</v>
      </c>
      <c r="J228">
        <v>0.51579351481928304</v>
      </c>
      <c r="M228">
        <f t="shared" si="184"/>
        <v>0.88071579616231355</v>
      </c>
      <c r="N228">
        <f t="shared" si="185"/>
        <v>0.79000546615977041</v>
      </c>
      <c r="O228">
        <f t="shared" si="186"/>
        <v>0.66511896531224457</v>
      </c>
      <c r="P228">
        <f t="shared" si="187"/>
        <v>0.8136720928437895</v>
      </c>
      <c r="Q228">
        <f t="shared" si="188"/>
        <v>0.78926981668793605</v>
      </c>
      <c r="R228">
        <f t="shared" si="189"/>
        <v>0.75539659439327345</v>
      </c>
      <c r="S228">
        <f t="shared" si="190"/>
        <v>0.66365815315823595</v>
      </c>
      <c r="T228">
        <f t="shared" si="191"/>
        <v>0.84878281092821206</v>
      </c>
      <c r="U228">
        <f t="shared" si="192"/>
        <v>0.75789675740964157</v>
      </c>
      <c r="X228">
        <f t="shared" si="193"/>
        <v>9.0710330002543138E-2</v>
      </c>
      <c r="Y228">
        <f t="shared" si="194"/>
        <v>0.21559683085006898</v>
      </c>
      <c r="Z228">
        <f t="shared" si="195"/>
        <v>6.7043703318524051E-2</v>
      </c>
      <c r="AA228">
        <f t="shared" si="196"/>
        <v>9.1445979474377492E-2</v>
      </c>
      <c r="AB228">
        <f t="shared" si="197"/>
        <v>0.1253192017690401</v>
      </c>
      <c r="AC228">
        <f t="shared" si="198"/>
        <v>0.21705764300407759</v>
      </c>
      <c r="AD228">
        <f t="shared" si="199"/>
        <v>3.1932985234101485E-2</v>
      </c>
      <c r="AE228">
        <f t="shared" si="200"/>
        <v>0.12281903875267197</v>
      </c>
      <c r="AI228">
        <f t="shared" si="201"/>
        <v>0.18142066000508617</v>
      </c>
      <c r="AJ228">
        <f t="shared" si="202"/>
        <v>0.4311936617001379</v>
      </c>
      <c r="AK228">
        <f t="shared" si="203"/>
        <v>0.1340874066370481</v>
      </c>
      <c r="AL228">
        <f t="shared" si="204"/>
        <v>0.18289195894875498</v>
      </c>
      <c r="AM228">
        <f t="shared" si="205"/>
        <v>0.2506384035380802</v>
      </c>
      <c r="AN228">
        <f t="shared" si="206"/>
        <v>0.43411528600815519</v>
      </c>
      <c r="AO228">
        <f t="shared" si="207"/>
        <v>6.386597046820286E-2</v>
      </c>
      <c r="AP228">
        <f t="shared" si="208"/>
        <v>0.24563807750534405</v>
      </c>
    </row>
    <row r="229" spans="1:42" x14ac:dyDescent="0.25">
      <c r="A229">
        <v>0.25740000000000002</v>
      </c>
      <c r="B229">
        <v>0.73847144829236289</v>
      </c>
      <c r="C229">
        <v>0.57333355390903251</v>
      </c>
      <c r="D229">
        <v>0.32284195025952478</v>
      </c>
      <c r="E229">
        <v>0.65206722267919703</v>
      </c>
      <c r="F229">
        <v>0.55655836433949135</v>
      </c>
      <c r="G229">
        <v>0.51006284755205578</v>
      </c>
      <c r="H229">
        <v>0.31011056703465278</v>
      </c>
      <c r="I229">
        <v>0.68256601611645928</v>
      </c>
      <c r="J229">
        <v>0.50753957541665673</v>
      </c>
      <c r="M229">
        <f t="shared" si="184"/>
        <v>0.86923572414618144</v>
      </c>
      <c r="N229">
        <f t="shared" si="185"/>
        <v>0.78666677695451626</v>
      </c>
      <c r="O229">
        <f t="shared" si="186"/>
        <v>0.66142097512976239</v>
      </c>
      <c r="P229">
        <f t="shared" si="187"/>
        <v>0.82603361133959852</v>
      </c>
      <c r="Q229">
        <f t="shared" si="188"/>
        <v>0.77827918216974568</v>
      </c>
      <c r="R229">
        <f t="shared" si="189"/>
        <v>0.75503142377602783</v>
      </c>
      <c r="S229">
        <f t="shared" si="190"/>
        <v>0.65505528351732645</v>
      </c>
      <c r="T229">
        <f t="shared" si="191"/>
        <v>0.84128300805822964</v>
      </c>
      <c r="U229">
        <f t="shared" si="192"/>
        <v>0.75376978770832836</v>
      </c>
      <c r="X229">
        <f t="shared" si="193"/>
        <v>8.2568947191665187E-2</v>
      </c>
      <c r="Y229">
        <f t="shared" si="194"/>
        <v>0.20781474901641905</v>
      </c>
      <c r="Z229">
        <f t="shared" si="195"/>
        <v>4.3202112806582926E-2</v>
      </c>
      <c r="AA229">
        <f t="shared" si="196"/>
        <v>9.0956541976435767E-2</v>
      </c>
      <c r="AB229">
        <f t="shared" si="197"/>
        <v>0.11420430037015361</v>
      </c>
      <c r="AC229">
        <f t="shared" si="198"/>
        <v>0.214180440628855</v>
      </c>
      <c r="AD229">
        <f t="shared" si="199"/>
        <v>2.7952716087951801E-2</v>
      </c>
      <c r="AE229">
        <f t="shared" si="200"/>
        <v>0.11546593643785308</v>
      </c>
      <c r="AI229">
        <f t="shared" si="201"/>
        <v>0.16513789438333037</v>
      </c>
      <c r="AJ229">
        <f t="shared" si="202"/>
        <v>0.41562949803283811</v>
      </c>
      <c r="AK229">
        <f t="shared" si="203"/>
        <v>8.6404225613165853E-2</v>
      </c>
      <c r="AL229">
        <f t="shared" si="204"/>
        <v>0.18191308395287153</v>
      </c>
      <c r="AM229">
        <f t="shared" si="205"/>
        <v>0.22840860074030711</v>
      </c>
      <c r="AN229">
        <f t="shared" si="206"/>
        <v>0.4283608812577101</v>
      </c>
      <c r="AO229">
        <f t="shared" si="207"/>
        <v>5.5905432175903602E-2</v>
      </c>
      <c r="AP229">
        <f t="shared" si="208"/>
        <v>0.23093187287570616</v>
      </c>
    </row>
    <row r="230" spans="1:42" x14ac:dyDescent="0.25">
      <c r="A230">
        <v>0.27800000000000002</v>
      </c>
      <c r="B230">
        <v>0.7193560893474269</v>
      </c>
      <c r="C230">
        <v>0.56511993927985282</v>
      </c>
      <c r="D230">
        <v>0.31623330966074509</v>
      </c>
      <c r="E230">
        <v>0.67019144147229637</v>
      </c>
      <c r="F230">
        <v>0.53959762551397816</v>
      </c>
      <c r="G230">
        <v>0.51707666991870427</v>
      </c>
      <c r="H230">
        <v>0.29582326557559668</v>
      </c>
      <c r="I230">
        <v>0.66719373733993037</v>
      </c>
      <c r="J230">
        <v>0.49761592484082229</v>
      </c>
      <c r="M230">
        <f t="shared" si="184"/>
        <v>0.85967804467371345</v>
      </c>
      <c r="N230">
        <f t="shared" si="185"/>
        <v>0.78255996963992636</v>
      </c>
      <c r="O230">
        <f t="shared" si="186"/>
        <v>0.65811665483037252</v>
      </c>
      <c r="P230">
        <f t="shared" si="187"/>
        <v>0.83509572073614824</v>
      </c>
      <c r="Q230">
        <f t="shared" si="188"/>
        <v>0.76979881275698903</v>
      </c>
      <c r="R230">
        <f t="shared" si="189"/>
        <v>0.75853833495935219</v>
      </c>
      <c r="S230">
        <f t="shared" si="190"/>
        <v>0.64791163278779829</v>
      </c>
      <c r="T230">
        <f t="shared" si="191"/>
        <v>0.83359686866996519</v>
      </c>
      <c r="U230">
        <f t="shared" si="192"/>
        <v>0.74880796242041114</v>
      </c>
      <c r="X230">
        <f t="shared" si="193"/>
        <v>7.7118075033787092E-2</v>
      </c>
      <c r="Y230">
        <f t="shared" si="194"/>
        <v>0.20156138984334093</v>
      </c>
      <c r="Z230">
        <f t="shared" si="195"/>
        <v>2.4582323937565209E-2</v>
      </c>
      <c r="AA230">
        <f t="shared" si="196"/>
        <v>8.9879231916724422E-2</v>
      </c>
      <c r="AB230">
        <f t="shared" si="197"/>
        <v>0.10113970971436126</v>
      </c>
      <c r="AC230">
        <f t="shared" si="198"/>
        <v>0.21176641188591516</v>
      </c>
      <c r="AD230">
        <f t="shared" si="199"/>
        <v>2.6081176003748263E-2</v>
      </c>
      <c r="AE230">
        <f t="shared" si="200"/>
        <v>0.1108700822533023</v>
      </c>
      <c r="AF230">
        <f>COUNT(X221:X230)</f>
        <v>10</v>
      </c>
      <c r="AI230">
        <f t="shared" si="201"/>
        <v>0.15423615006757407</v>
      </c>
      <c r="AJ230">
        <f t="shared" si="202"/>
        <v>0.40312277968668181</v>
      </c>
      <c r="AK230">
        <f t="shared" si="203"/>
        <v>4.9164647875130529E-2</v>
      </c>
      <c r="AL230">
        <f t="shared" si="204"/>
        <v>0.17975846383344873</v>
      </c>
      <c r="AM230">
        <f t="shared" si="205"/>
        <v>0.20227941942872263</v>
      </c>
      <c r="AN230">
        <f t="shared" si="206"/>
        <v>0.42353282377183021</v>
      </c>
      <c r="AO230">
        <f t="shared" si="207"/>
        <v>5.2162352007496526E-2</v>
      </c>
      <c r="AP230">
        <f t="shared" si="208"/>
        <v>0.22174016450660461</v>
      </c>
    </row>
    <row r="231" spans="1:42" s="10" customFormat="1" x14ac:dyDescent="0.25">
      <c r="A231" s="10" t="s">
        <v>70</v>
      </c>
      <c r="M231" s="10">
        <f>AVERAGE(M221:M230)</f>
        <v>0.89819269467762319</v>
      </c>
      <c r="N231" s="10">
        <f t="shared" ref="N231" si="233">AVERAGE(N221:N230)</f>
        <v>0.8048373101005506</v>
      </c>
      <c r="O231" s="10">
        <f t="shared" ref="O231" si="234">AVERAGE(O221:O230)</f>
        <v>0.68270388288509565</v>
      </c>
      <c r="P231" s="10">
        <f t="shared" ref="P231" si="235">AVERAGE(P221:P230)</f>
        <v>0.78502162087599259</v>
      </c>
      <c r="Q231" s="10">
        <f t="shared" ref="Q231" si="236">AVERAGE(Q221:Q230)</f>
        <v>0.82842972107804302</v>
      </c>
      <c r="R231" s="10">
        <f t="shared" ref="R231" si="237">AVERAGE(R221:R230)</f>
        <v>0.73028295700753709</v>
      </c>
      <c r="S231" s="10">
        <f t="shared" ref="S231" si="238">AVERAGE(S221:S230)</f>
        <v>0.70167227238897267</v>
      </c>
      <c r="T231" s="10">
        <f t="shared" ref="T231" si="239">AVERAGE(T221:T230)</f>
        <v>0.8687452208856733</v>
      </c>
      <c r="U231" s="10">
        <f t="shared" ref="U231" si="240">AVERAGE(U221:U230)</f>
        <v>0.77833302310442731</v>
      </c>
      <c r="X231" s="10">
        <f>((M231-N231)/N231)*100</f>
        <v>11.599286390613457</v>
      </c>
      <c r="Y231" s="10">
        <f>((M231-O231)/O231)*100</f>
        <v>31.564023172370909</v>
      </c>
      <c r="Z231" s="10">
        <f>((M231-P231)/P231)*100</f>
        <v>14.416300238373674</v>
      </c>
      <c r="AA231" s="10">
        <f>((M231-Q231)/Q231)*100</f>
        <v>8.4211094586028352</v>
      </c>
      <c r="AB231" s="10">
        <f>((M231-R231)/R231)*100</f>
        <v>22.992421781021125</v>
      </c>
      <c r="AC231" s="10">
        <f>((M231-S231)/S231)*100</f>
        <v>28.007437378074023</v>
      </c>
      <c r="AD231" s="10">
        <f>((M231-T231)/T231)*100</f>
        <v>3.389655917983482</v>
      </c>
      <c r="AE231" s="10">
        <f>((M231-U231)/U231)*100</f>
        <v>15.399535676274981</v>
      </c>
      <c r="AI231" s="10">
        <f t="shared" si="201"/>
        <v>0</v>
      </c>
      <c r="AJ231" s="10">
        <f t="shared" si="202"/>
        <v>0</v>
      </c>
      <c r="AK231" s="10">
        <f t="shared" si="203"/>
        <v>0</v>
      </c>
      <c r="AL231" s="10">
        <f t="shared" si="204"/>
        <v>0</v>
      </c>
      <c r="AM231" s="10">
        <f t="shared" si="205"/>
        <v>0</v>
      </c>
      <c r="AN231" s="10">
        <f t="shared" si="206"/>
        <v>0</v>
      </c>
      <c r="AO231" s="10">
        <f t="shared" si="207"/>
        <v>0</v>
      </c>
      <c r="AP231" s="10">
        <f t="shared" si="208"/>
        <v>0</v>
      </c>
    </row>
    <row r="232" spans="1:42" x14ac:dyDescent="0.25">
      <c r="A232">
        <v>4.1500000000000002E-2</v>
      </c>
      <c r="B232">
        <v>0.65897712343439174</v>
      </c>
      <c r="C232">
        <v>0.60095853788126397</v>
      </c>
      <c r="D232">
        <v>0.4513987207614924</v>
      </c>
      <c r="E232">
        <v>0.6147600900868011</v>
      </c>
      <c r="F232">
        <v>0.67340393826366307</v>
      </c>
      <c r="G232">
        <v>0.62543196250086286</v>
      </c>
      <c r="H232">
        <v>0.63630904010957356</v>
      </c>
      <c r="I232">
        <v>0.61727415429432986</v>
      </c>
      <c r="J232">
        <v>0.57104657445730966</v>
      </c>
      <c r="M232">
        <f t="shared" si="184"/>
        <v>0.82948856171719587</v>
      </c>
      <c r="N232">
        <f t="shared" si="185"/>
        <v>0.80047926894063193</v>
      </c>
      <c r="O232">
        <f t="shared" si="186"/>
        <v>0.72569936038074623</v>
      </c>
      <c r="P232">
        <f t="shared" si="187"/>
        <v>0.80738004504340055</v>
      </c>
      <c r="Q232">
        <f t="shared" si="188"/>
        <v>0.83670196913183159</v>
      </c>
      <c r="R232">
        <f t="shared" si="189"/>
        <v>0.81271598125043143</v>
      </c>
      <c r="S232">
        <f t="shared" si="190"/>
        <v>0.81815452005478684</v>
      </c>
      <c r="T232">
        <f t="shared" si="191"/>
        <v>0.80863707714716493</v>
      </c>
      <c r="U232">
        <f t="shared" si="192"/>
        <v>0.78552328722865483</v>
      </c>
      <c r="X232">
        <f t="shared" si="193"/>
        <v>2.9009292776563944E-2</v>
      </c>
      <c r="Y232">
        <f t="shared" si="194"/>
        <v>0.10378920133644964</v>
      </c>
      <c r="Z232">
        <f t="shared" si="195"/>
        <v>2.210851667379532E-2</v>
      </c>
      <c r="AA232">
        <f t="shared" si="196"/>
        <v>-7.2134074146357197E-3</v>
      </c>
      <c r="AB232">
        <f t="shared" si="197"/>
        <v>1.6772580466764442E-2</v>
      </c>
      <c r="AC232">
        <f t="shared" si="198"/>
        <v>1.1334041662409033E-2</v>
      </c>
      <c r="AD232">
        <f t="shared" si="199"/>
        <v>2.0851484570030943E-2</v>
      </c>
      <c r="AE232">
        <f t="shared" si="200"/>
        <v>4.396527448854104E-2</v>
      </c>
      <c r="AI232">
        <f t="shared" si="201"/>
        <v>5.8018585553127777E-2</v>
      </c>
      <c r="AJ232">
        <f t="shared" si="202"/>
        <v>0.20757840267289934</v>
      </c>
      <c r="AK232">
        <f t="shared" si="203"/>
        <v>4.421703334759064E-2</v>
      </c>
      <c r="AL232">
        <f t="shared" si="204"/>
        <v>-1.4426814829271328E-2</v>
      </c>
      <c r="AM232">
        <f t="shared" si="205"/>
        <v>3.3545160933528884E-2</v>
      </c>
      <c r="AN232">
        <f t="shared" si="206"/>
        <v>2.2668083324818178E-2</v>
      </c>
      <c r="AO232">
        <f t="shared" si="207"/>
        <v>4.1702969140061885E-2</v>
      </c>
      <c r="AP232">
        <f t="shared" si="208"/>
        <v>8.7930548977082079E-2</v>
      </c>
    </row>
    <row r="233" spans="1:42" x14ac:dyDescent="0.25">
      <c r="A233">
        <v>5.0700000000000002E-2</v>
      </c>
      <c r="B233">
        <v>0.68699439265154483</v>
      </c>
      <c r="C233">
        <v>0.63457758372976958</v>
      </c>
      <c r="D233">
        <v>0.47457725278935758</v>
      </c>
      <c r="E233">
        <v>0.64691277498897481</v>
      </c>
      <c r="F233">
        <v>0.71416593283041263</v>
      </c>
      <c r="G233">
        <v>0.68067937400073575</v>
      </c>
      <c r="H233">
        <v>0.68067937400073575</v>
      </c>
      <c r="I233">
        <v>0.67525563396885746</v>
      </c>
      <c r="J233">
        <v>0.58847579345880341</v>
      </c>
      <c r="M233">
        <f t="shared" si="184"/>
        <v>0.84349719632577247</v>
      </c>
      <c r="N233">
        <f t="shared" si="185"/>
        <v>0.81728879186488479</v>
      </c>
      <c r="O233">
        <f t="shared" si="186"/>
        <v>0.73728862639467874</v>
      </c>
      <c r="P233">
        <f t="shared" si="187"/>
        <v>0.82345638749448735</v>
      </c>
      <c r="Q233">
        <f t="shared" si="188"/>
        <v>0.85708296641520632</v>
      </c>
      <c r="R233">
        <f t="shared" si="189"/>
        <v>0.84033968700036787</v>
      </c>
      <c r="S233">
        <f t="shared" si="190"/>
        <v>0.84033968700036787</v>
      </c>
      <c r="T233">
        <f t="shared" si="191"/>
        <v>0.83762781698442867</v>
      </c>
      <c r="U233">
        <f t="shared" si="192"/>
        <v>0.7942378967294017</v>
      </c>
      <c r="X233">
        <f t="shared" si="193"/>
        <v>2.620840446088768E-2</v>
      </c>
      <c r="Y233">
        <f t="shared" si="194"/>
        <v>0.10620856993109373</v>
      </c>
      <c r="Z233">
        <f t="shared" si="195"/>
        <v>2.0040808831285117E-2</v>
      </c>
      <c r="AA233">
        <f t="shared" si="196"/>
        <v>-1.3585770089433846E-2</v>
      </c>
      <c r="AB233">
        <f t="shared" si="197"/>
        <v>3.1575093254045949E-3</v>
      </c>
      <c r="AC233">
        <f t="shared" si="198"/>
        <v>3.1575093254045949E-3</v>
      </c>
      <c r="AD233">
        <f t="shared" si="199"/>
        <v>5.8693793413437945E-3</v>
      </c>
      <c r="AE233">
        <f t="shared" si="200"/>
        <v>4.9259299596370765E-2</v>
      </c>
      <c r="AI233">
        <f t="shared" si="201"/>
        <v>5.2416808921775249E-2</v>
      </c>
      <c r="AJ233">
        <f t="shared" si="202"/>
        <v>0.21241713986218724</v>
      </c>
      <c r="AK233">
        <f t="shared" si="203"/>
        <v>4.0081617662570013E-2</v>
      </c>
      <c r="AL233">
        <f t="shared" si="204"/>
        <v>-2.7171540178867803E-2</v>
      </c>
      <c r="AM233">
        <f t="shared" si="205"/>
        <v>6.3150186508090789E-3</v>
      </c>
      <c r="AN233">
        <f t="shared" si="206"/>
        <v>6.3150186508090789E-3</v>
      </c>
      <c r="AO233">
        <f t="shared" si="207"/>
        <v>1.1738758682687367E-2</v>
      </c>
      <c r="AP233">
        <f t="shared" si="208"/>
        <v>9.8518599192741418E-2</v>
      </c>
    </row>
    <row r="234" spans="1:42" x14ac:dyDescent="0.25">
      <c r="A234">
        <v>0.06</v>
      </c>
      <c r="B234">
        <v>0.67072361511091994</v>
      </c>
      <c r="C234">
        <v>0.63193504736129913</v>
      </c>
      <c r="D234">
        <v>0.47496617050067658</v>
      </c>
      <c r="E234">
        <v>0.62590690242091462</v>
      </c>
      <c r="F234">
        <v>0.70137944080454484</v>
      </c>
      <c r="G234">
        <v>0.64546684709066304</v>
      </c>
      <c r="H234">
        <v>0.67794316644113661</v>
      </c>
      <c r="I234">
        <v>0.65087956698240856</v>
      </c>
      <c r="J234">
        <v>0.58863328822733418</v>
      </c>
      <c r="M234">
        <f t="shared" si="184"/>
        <v>0.83536180755545997</v>
      </c>
      <c r="N234">
        <f t="shared" si="185"/>
        <v>0.81596752368064962</v>
      </c>
      <c r="O234">
        <f t="shared" si="186"/>
        <v>0.73748308525033823</v>
      </c>
      <c r="P234">
        <f t="shared" si="187"/>
        <v>0.81295345121045726</v>
      </c>
      <c r="Q234">
        <f t="shared" si="188"/>
        <v>0.85068972040227242</v>
      </c>
      <c r="R234">
        <f t="shared" si="189"/>
        <v>0.82273342354533152</v>
      </c>
      <c r="S234">
        <f t="shared" si="190"/>
        <v>0.83897158322056831</v>
      </c>
      <c r="T234">
        <f t="shared" si="191"/>
        <v>0.82543978349120428</v>
      </c>
      <c r="U234">
        <f t="shared" si="192"/>
        <v>0.79431664411366709</v>
      </c>
      <c r="X234">
        <f t="shared" si="193"/>
        <v>1.9394283874810347E-2</v>
      </c>
      <c r="Y234">
        <f t="shared" si="194"/>
        <v>9.7878722305121735E-2</v>
      </c>
      <c r="Z234">
        <f t="shared" si="195"/>
        <v>2.2408356345002711E-2</v>
      </c>
      <c r="AA234">
        <f t="shared" si="196"/>
        <v>-1.5327912846812453E-2</v>
      </c>
      <c r="AB234">
        <f t="shared" si="197"/>
        <v>1.2628384010128446E-2</v>
      </c>
      <c r="AC234">
        <f t="shared" si="198"/>
        <v>-3.609775665108339E-3</v>
      </c>
      <c r="AD234">
        <f t="shared" si="199"/>
        <v>9.9220240642556856E-3</v>
      </c>
      <c r="AE234">
        <f t="shared" si="200"/>
        <v>4.1045163441792876E-2</v>
      </c>
      <c r="AI234">
        <f t="shared" si="201"/>
        <v>3.8788567749620806E-2</v>
      </c>
      <c r="AJ234">
        <f t="shared" si="202"/>
        <v>0.19575744461024336</v>
      </c>
      <c r="AK234">
        <f t="shared" si="203"/>
        <v>4.4816712690005311E-2</v>
      </c>
      <c r="AL234">
        <f t="shared" si="204"/>
        <v>-3.0655825693624905E-2</v>
      </c>
      <c r="AM234">
        <f t="shared" si="205"/>
        <v>2.5256768020256892E-2</v>
      </c>
      <c r="AN234">
        <f t="shared" si="206"/>
        <v>-7.2195513302166781E-3</v>
      </c>
      <c r="AO234">
        <f t="shared" si="207"/>
        <v>1.9844048128511371E-2</v>
      </c>
      <c r="AP234">
        <f t="shared" si="208"/>
        <v>8.2090326883585751E-2</v>
      </c>
    </row>
    <row r="235" spans="1:42" x14ac:dyDescent="0.25">
      <c r="A235">
        <v>6.9199999999999998E-2</v>
      </c>
      <c r="B235">
        <v>0.66892487340990414</v>
      </c>
      <c r="C235">
        <v>0.63279190883604641</v>
      </c>
      <c r="D235">
        <v>0.48103025189892179</v>
      </c>
      <c r="E235">
        <v>0.63238934824963877</v>
      </c>
      <c r="F235">
        <v>0.6895608194081041</v>
      </c>
      <c r="G235">
        <v>0.61924176089523164</v>
      </c>
      <c r="H235">
        <v>0.67073232307032749</v>
      </c>
      <c r="I235">
        <v>0.62466182007155757</v>
      </c>
      <c r="J235">
        <v>0.59485149460176523</v>
      </c>
      <c r="M235">
        <f t="shared" si="184"/>
        <v>0.83446243670495202</v>
      </c>
      <c r="N235">
        <f t="shared" si="185"/>
        <v>0.81639595441802326</v>
      </c>
      <c r="O235">
        <f t="shared" si="186"/>
        <v>0.7405151259494609</v>
      </c>
      <c r="P235">
        <f t="shared" si="187"/>
        <v>0.81619467412481939</v>
      </c>
      <c r="Q235">
        <f t="shared" si="188"/>
        <v>0.8447804097040521</v>
      </c>
      <c r="R235">
        <f t="shared" si="189"/>
        <v>0.80962088044761582</v>
      </c>
      <c r="S235">
        <f t="shared" si="190"/>
        <v>0.83536616153516374</v>
      </c>
      <c r="T235">
        <f t="shared" si="191"/>
        <v>0.81233091003577873</v>
      </c>
      <c r="U235">
        <f t="shared" si="192"/>
        <v>0.79742574730088256</v>
      </c>
      <c r="X235">
        <f t="shared" si="193"/>
        <v>1.8066482286928753E-2</v>
      </c>
      <c r="Y235">
        <f t="shared" si="194"/>
        <v>9.394731075549112E-2</v>
      </c>
      <c r="Z235">
        <f t="shared" si="195"/>
        <v>1.8267762580132629E-2</v>
      </c>
      <c r="AA235">
        <f t="shared" si="196"/>
        <v>-1.0317972999100089E-2</v>
      </c>
      <c r="AB235">
        <f t="shared" si="197"/>
        <v>2.4841556257336195E-2</v>
      </c>
      <c r="AC235">
        <f t="shared" si="198"/>
        <v>-9.0372483021172734E-4</v>
      </c>
      <c r="AD235">
        <f t="shared" si="199"/>
        <v>2.2131526669173285E-2</v>
      </c>
      <c r="AE235">
        <f t="shared" si="200"/>
        <v>3.7036689404069456E-2</v>
      </c>
      <c r="AI235">
        <f t="shared" si="201"/>
        <v>3.6132964573857729E-2</v>
      </c>
      <c r="AJ235">
        <f t="shared" si="202"/>
        <v>0.18789462151098235</v>
      </c>
      <c r="AK235">
        <f t="shared" si="203"/>
        <v>3.653552516026537E-2</v>
      </c>
      <c r="AL235">
        <f t="shared" si="204"/>
        <v>-2.0635945998199956E-2</v>
      </c>
      <c r="AM235">
        <f t="shared" si="205"/>
        <v>4.9683112514672501E-2</v>
      </c>
      <c r="AN235">
        <f t="shared" si="206"/>
        <v>-1.8074496604233437E-3</v>
      </c>
      <c r="AO235">
        <f t="shared" si="207"/>
        <v>4.426305333834657E-2</v>
      </c>
      <c r="AP235">
        <f t="shared" si="208"/>
        <v>7.4073378808138912E-2</v>
      </c>
    </row>
    <row r="236" spans="1:42" x14ac:dyDescent="0.25">
      <c r="A236">
        <v>7.8399999999999997E-2</v>
      </c>
      <c r="B236">
        <v>0.7608108108108107</v>
      </c>
      <c r="C236">
        <v>0.70858704499621383</v>
      </c>
      <c r="D236">
        <v>0.51926989556974446</v>
      </c>
      <c r="E236">
        <v>0.70138526031607751</v>
      </c>
      <c r="F236">
        <v>0.73205672559079538</v>
      </c>
      <c r="G236">
        <v>0.69235986075965927</v>
      </c>
      <c r="H236">
        <v>0.68695079934747438</v>
      </c>
      <c r="I236">
        <v>0.68695079934747438</v>
      </c>
      <c r="J236">
        <v>0.65449643087436538</v>
      </c>
      <c r="M236">
        <f t="shared" si="184"/>
        <v>0.88040540540540535</v>
      </c>
      <c r="N236">
        <f t="shared" si="185"/>
        <v>0.85429352249810697</v>
      </c>
      <c r="O236">
        <f t="shared" si="186"/>
        <v>0.75963494778487228</v>
      </c>
      <c r="P236">
        <f t="shared" si="187"/>
        <v>0.85069263015803875</v>
      </c>
      <c r="Q236">
        <f t="shared" si="188"/>
        <v>0.86602836279539774</v>
      </c>
      <c r="R236">
        <f t="shared" si="189"/>
        <v>0.84617993037982964</v>
      </c>
      <c r="S236">
        <f t="shared" si="190"/>
        <v>0.84347539967373719</v>
      </c>
      <c r="T236">
        <f t="shared" si="191"/>
        <v>0.84347539967373719</v>
      </c>
      <c r="U236">
        <f t="shared" si="192"/>
        <v>0.82724821543718274</v>
      </c>
      <c r="X236">
        <f t="shared" si="193"/>
        <v>2.6111882907298378E-2</v>
      </c>
      <c r="Y236">
        <f t="shared" si="194"/>
        <v>0.12077045762053307</v>
      </c>
      <c r="Z236">
        <f t="shared" si="195"/>
        <v>2.9712775247366596E-2</v>
      </c>
      <c r="AA236">
        <f t="shared" si="196"/>
        <v>1.4377042610007607E-2</v>
      </c>
      <c r="AB236">
        <f t="shared" si="197"/>
        <v>3.4225475025575713E-2</v>
      </c>
      <c r="AC236">
        <f t="shared" si="198"/>
        <v>3.6930005731668158E-2</v>
      </c>
      <c r="AD236">
        <f t="shared" si="199"/>
        <v>3.6930005731668158E-2</v>
      </c>
      <c r="AE236">
        <f t="shared" si="200"/>
        <v>5.3157189968222607E-2</v>
      </c>
      <c r="AI236">
        <f t="shared" si="201"/>
        <v>5.2223765814596868E-2</v>
      </c>
      <c r="AJ236">
        <f t="shared" si="202"/>
        <v>0.24154091524106625</v>
      </c>
      <c r="AK236">
        <f t="shared" si="203"/>
        <v>5.9425550494733193E-2</v>
      </c>
      <c r="AL236">
        <f t="shared" si="204"/>
        <v>2.8754085220015324E-2</v>
      </c>
      <c r="AM236">
        <f t="shared" si="205"/>
        <v>6.8450950051151427E-2</v>
      </c>
      <c r="AN236">
        <f t="shared" si="206"/>
        <v>7.3860011463336317E-2</v>
      </c>
      <c r="AO236">
        <f t="shared" si="207"/>
        <v>7.3860011463336317E-2</v>
      </c>
      <c r="AP236">
        <f t="shared" si="208"/>
        <v>0.10631437993644532</v>
      </c>
    </row>
    <row r="237" spans="1:42" x14ac:dyDescent="0.25">
      <c r="A237">
        <v>8.7599999999999997E-2</v>
      </c>
      <c r="B237">
        <v>0.71303189785721066</v>
      </c>
      <c r="C237">
        <v>0.65810870901114826</v>
      </c>
      <c r="D237">
        <v>0.47973016775966648</v>
      </c>
      <c r="E237">
        <v>0.65174967864526701</v>
      </c>
      <c r="F237">
        <v>0.69901725560958827</v>
      </c>
      <c r="G237">
        <v>0.66351411935210225</v>
      </c>
      <c r="H237">
        <v>0.64189247798828619</v>
      </c>
      <c r="I237">
        <v>0.65810870901114826</v>
      </c>
      <c r="J237">
        <v>0.60405460560160829</v>
      </c>
      <c r="K237">
        <f>MIN(C232:J241)</f>
        <v>0.4513987207614924</v>
      </c>
      <c r="M237">
        <f t="shared" si="184"/>
        <v>0.85651594892860539</v>
      </c>
      <c r="N237">
        <f t="shared" si="185"/>
        <v>0.82905435450557419</v>
      </c>
      <c r="O237">
        <f t="shared" si="186"/>
        <v>0.7398650838798333</v>
      </c>
      <c r="P237">
        <f t="shared" si="187"/>
        <v>0.8258748393226335</v>
      </c>
      <c r="Q237">
        <f t="shared" si="188"/>
        <v>0.84950862780479408</v>
      </c>
      <c r="R237">
        <f t="shared" si="189"/>
        <v>0.83175705967605107</v>
      </c>
      <c r="S237">
        <f t="shared" si="190"/>
        <v>0.8209462389941431</v>
      </c>
      <c r="T237">
        <f t="shared" si="191"/>
        <v>0.82905435450557419</v>
      </c>
      <c r="U237">
        <f t="shared" si="192"/>
        <v>0.80202730280080414</v>
      </c>
      <c r="X237">
        <f t="shared" si="193"/>
        <v>2.7461594423031199E-2</v>
      </c>
      <c r="Y237">
        <f t="shared" si="194"/>
        <v>0.11665086504877209</v>
      </c>
      <c r="Z237">
        <f t="shared" si="195"/>
        <v>3.0641109605971883E-2</v>
      </c>
      <c r="AA237">
        <f t="shared" si="196"/>
        <v>7.0073211238113053E-3</v>
      </c>
      <c r="AB237">
        <f t="shared" si="197"/>
        <v>2.4758889252554317E-2</v>
      </c>
      <c r="AC237">
        <f t="shared" si="198"/>
        <v>3.556970993446229E-2</v>
      </c>
      <c r="AD237">
        <f t="shared" si="199"/>
        <v>2.7461594423031199E-2</v>
      </c>
      <c r="AE237">
        <f t="shared" si="200"/>
        <v>5.4488646127801244E-2</v>
      </c>
      <c r="AI237">
        <f t="shared" si="201"/>
        <v>5.4923188846062398E-2</v>
      </c>
      <c r="AJ237">
        <f t="shared" si="202"/>
        <v>0.23330173009754418</v>
      </c>
      <c r="AK237">
        <f t="shared" si="203"/>
        <v>6.1282219211943656E-2</v>
      </c>
      <c r="AL237">
        <f t="shared" si="204"/>
        <v>1.4014642247622389E-2</v>
      </c>
      <c r="AM237">
        <f t="shared" si="205"/>
        <v>4.9517778505108412E-2</v>
      </c>
      <c r="AN237">
        <f t="shared" si="206"/>
        <v>7.1139419868924469E-2</v>
      </c>
      <c r="AO237">
        <f t="shared" si="207"/>
        <v>5.4923188846062398E-2</v>
      </c>
      <c r="AP237">
        <f t="shared" si="208"/>
        <v>0.10897729225560238</v>
      </c>
    </row>
    <row r="238" spans="1:42" x14ac:dyDescent="0.25">
      <c r="A238">
        <v>9.6799999999999997E-2</v>
      </c>
      <c r="B238">
        <v>0.76641999665993077</v>
      </c>
      <c r="C238">
        <v>0.71680282606909751</v>
      </c>
      <c r="D238">
        <v>0.54878099160299521</v>
      </c>
      <c r="E238">
        <v>0.72393791759535475</v>
      </c>
      <c r="F238">
        <v>0.75199019400472256</v>
      </c>
      <c r="G238">
        <v>0.72493291483358635</v>
      </c>
      <c r="H238">
        <v>0.70325267812828285</v>
      </c>
      <c r="I238">
        <v>0.71680282606909751</v>
      </c>
      <c r="J238">
        <v>0.6734423526584904</v>
      </c>
      <c r="K238">
        <f>MAX(C232:J241)</f>
        <v>0.81418301202071042</v>
      </c>
      <c r="M238">
        <f t="shared" si="184"/>
        <v>0.88320999832996538</v>
      </c>
      <c r="N238">
        <f t="shared" si="185"/>
        <v>0.85840141303454875</v>
      </c>
      <c r="O238">
        <f t="shared" si="186"/>
        <v>0.77439049580149755</v>
      </c>
      <c r="P238">
        <f t="shared" si="187"/>
        <v>0.86196895879767732</v>
      </c>
      <c r="Q238">
        <f t="shared" si="188"/>
        <v>0.87599509700236133</v>
      </c>
      <c r="R238">
        <f t="shared" si="189"/>
        <v>0.86246645741679318</v>
      </c>
      <c r="S238">
        <f t="shared" si="190"/>
        <v>0.85162633906414142</v>
      </c>
      <c r="T238">
        <f t="shared" si="191"/>
        <v>0.85840141303454875</v>
      </c>
      <c r="U238">
        <f t="shared" si="192"/>
        <v>0.83672117632924525</v>
      </c>
      <c r="X238">
        <f t="shared" si="193"/>
        <v>2.480858529541663E-2</v>
      </c>
      <c r="Y238">
        <f t="shared" si="194"/>
        <v>0.10881950252846784</v>
      </c>
      <c r="Z238">
        <f t="shared" si="195"/>
        <v>2.1241039532288064E-2</v>
      </c>
      <c r="AA238">
        <f t="shared" si="196"/>
        <v>7.2149013276040508E-3</v>
      </c>
      <c r="AB238">
        <f t="shared" si="197"/>
        <v>2.0743540913172209E-2</v>
      </c>
      <c r="AC238">
        <f t="shared" si="198"/>
        <v>3.158365926582396E-2</v>
      </c>
      <c r="AD238">
        <f t="shared" si="199"/>
        <v>2.480858529541663E-2</v>
      </c>
      <c r="AE238">
        <f t="shared" si="200"/>
        <v>4.6488822000720131E-2</v>
      </c>
      <c r="AI238">
        <f t="shared" si="201"/>
        <v>4.9617170590833259E-2</v>
      </c>
      <c r="AJ238">
        <f t="shared" si="202"/>
        <v>0.21763900505693556</v>
      </c>
      <c r="AK238">
        <f t="shared" si="203"/>
        <v>4.2482079064576017E-2</v>
      </c>
      <c r="AL238">
        <f t="shared" si="204"/>
        <v>1.4429802655208213E-2</v>
      </c>
      <c r="AM238">
        <f t="shared" si="205"/>
        <v>4.1487081826344419E-2</v>
      </c>
      <c r="AN238">
        <f t="shared" si="206"/>
        <v>6.316731853164792E-2</v>
      </c>
      <c r="AO238">
        <f t="shared" si="207"/>
        <v>4.9617170590833259E-2</v>
      </c>
      <c r="AP238">
        <f t="shared" si="208"/>
        <v>9.2977644001440374E-2</v>
      </c>
    </row>
    <row r="239" spans="1:42" x14ac:dyDescent="0.25">
      <c r="A239">
        <v>0.1061</v>
      </c>
      <c r="B239">
        <v>0.77702702702702697</v>
      </c>
      <c r="C239">
        <v>0.74374594417541529</v>
      </c>
      <c r="D239">
        <v>0.59770128604642458</v>
      </c>
      <c r="E239">
        <v>0.76182527272808409</v>
      </c>
      <c r="F239">
        <v>0.78727957336263488</v>
      </c>
      <c r="G239">
        <v>0.74915500558760006</v>
      </c>
      <c r="H239">
        <v>0.73022329064495317</v>
      </c>
      <c r="I239">
        <v>0.76538218982415451</v>
      </c>
      <c r="J239">
        <v>0.7004734528779365</v>
      </c>
      <c r="M239">
        <f t="shared" si="184"/>
        <v>0.88851351351351349</v>
      </c>
      <c r="N239">
        <f t="shared" si="185"/>
        <v>0.87187297208770764</v>
      </c>
      <c r="O239">
        <f t="shared" si="186"/>
        <v>0.79885064302321229</v>
      </c>
      <c r="P239">
        <f t="shared" si="187"/>
        <v>0.88091263636404205</v>
      </c>
      <c r="Q239">
        <f t="shared" si="188"/>
        <v>0.89363978668131749</v>
      </c>
      <c r="R239">
        <f t="shared" si="189"/>
        <v>0.87457750279380009</v>
      </c>
      <c r="S239">
        <f t="shared" si="190"/>
        <v>0.86511164532247653</v>
      </c>
      <c r="T239">
        <f t="shared" si="191"/>
        <v>0.8826910949120772</v>
      </c>
      <c r="U239">
        <f t="shared" si="192"/>
        <v>0.8502367264389683</v>
      </c>
      <c r="X239">
        <f t="shared" si="193"/>
        <v>1.6640541425805844E-2</v>
      </c>
      <c r="Y239">
        <f t="shared" si="194"/>
        <v>8.9662870490301194E-2</v>
      </c>
      <c r="Z239">
        <f t="shared" si="195"/>
        <v>7.6008771494714411E-3</v>
      </c>
      <c r="AA239">
        <f t="shared" si="196"/>
        <v>-5.1262731678040074E-3</v>
      </c>
      <c r="AB239">
        <f t="shared" si="197"/>
        <v>1.3936010719713399E-2</v>
      </c>
      <c r="AC239">
        <f t="shared" si="198"/>
        <v>2.3401868191036956E-2</v>
      </c>
      <c r="AD239">
        <f t="shared" si="199"/>
        <v>5.8224186014362855E-3</v>
      </c>
      <c r="AE239">
        <f t="shared" si="200"/>
        <v>3.8276787074545182E-2</v>
      </c>
      <c r="AI239">
        <f t="shared" si="201"/>
        <v>3.3281082851611687E-2</v>
      </c>
      <c r="AJ239">
        <f t="shared" si="202"/>
        <v>0.17932574098060239</v>
      </c>
      <c r="AK239">
        <f t="shared" si="203"/>
        <v>1.5201754298942882E-2</v>
      </c>
      <c r="AL239">
        <f t="shared" si="204"/>
        <v>-1.0252546335607904E-2</v>
      </c>
      <c r="AM239">
        <f t="shared" si="205"/>
        <v>2.7872021439426908E-2</v>
      </c>
      <c r="AN239">
        <f t="shared" si="206"/>
        <v>4.6803736382073802E-2</v>
      </c>
      <c r="AO239">
        <f t="shared" si="207"/>
        <v>1.164483720287246E-2</v>
      </c>
      <c r="AP239">
        <f t="shared" si="208"/>
        <v>7.6553574149090475E-2</v>
      </c>
    </row>
    <row r="240" spans="1:42" x14ac:dyDescent="0.25">
      <c r="A240">
        <v>0.1153</v>
      </c>
      <c r="B240">
        <v>0.74645047488150762</v>
      </c>
      <c r="C240">
        <v>0.7023004059539919</v>
      </c>
      <c r="D240">
        <v>0.53991880920162383</v>
      </c>
      <c r="E240">
        <v>0.71733150614531782</v>
      </c>
      <c r="F240">
        <v>0.73963650121206537</v>
      </c>
      <c r="G240">
        <v>0.72395128552097421</v>
      </c>
      <c r="H240">
        <v>0.67523680649526385</v>
      </c>
      <c r="I240">
        <v>0.72936400541271984</v>
      </c>
      <c r="J240">
        <v>0.64276048714479028</v>
      </c>
      <c r="M240">
        <f t="shared" si="184"/>
        <v>0.87322523744075387</v>
      </c>
      <c r="N240">
        <f t="shared" si="185"/>
        <v>0.85115020297699595</v>
      </c>
      <c r="O240">
        <f t="shared" si="186"/>
        <v>0.76995940460081191</v>
      </c>
      <c r="P240">
        <f t="shared" si="187"/>
        <v>0.85866575307265891</v>
      </c>
      <c r="Q240">
        <f t="shared" si="188"/>
        <v>0.86981825060603268</v>
      </c>
      <c r="R240">
        <f t="shared" si="189"/>
        <v>0.8619756427604871</v>
      </c>
      <c r="S240">
        <f t="shared" si="190"/>
        <v>0.83761840324763193</v>
      </c>
      <c r="T240">
        <f t="shared" si="191"/>
        <v>0.86468200270635998</v>
      </c>
      <c r="U240">
        <f t="shared" si="192"/>
        <v>0.82138024357239514</v>
      </c>
      <c r="X240">
        <f t="shared" si="193"/>
        <v>2.2075034463757914E-2</v>
      </c>
      <c r="Y240">
        <f t="shared" si="194"/>
        <v>0.10326583283994195</v>
      </c>
      <c r="Z240">
        <f t="shared" si="195"/>
        <v>1.4559484368094955E-2</v>
      </c>
      <c r="AA240">
        <f t="shared" si="196"/>
        <v>3.4069868347211818E-3</v>
      </c>
      <c r="AB240">
        <f t="shared" si="197"/>
        <v>1.1249594680266761E-2</v>
      </c>
      <c r="AC240">
        <f t="shared" si="198"/>
        <v>3.5606834193121939E-2</v>
      </c>
      <c r="AD240">
        <f t="shared" si="199"/>
        <v>8.5432347343938897E-3</v>
      </c>
      <c r="AE240">
        <f t="shared" si="200"/>
        <v>5.1844993868358724E-2</v>
      </c>
      <c r="AI240">
        <f t="shared" si="201"/>
        <v>4.4150068927515718E-2</v>
      </c>
      <c r="AJ240">
        <f t="shared" si="202"/>
        <v>0.20653166567988379</v>
      </c>
      <c r="AK240">
        <f t="shared" si="203"/>
        <v>2.9118968736189799E-2</v>
      </c>
      <c r="AL240">
        <f t="shared" si="204"/>
        <v>6.8139736694422526E-3</v>
      </c>
      <c r="AM240">
        <f t="shared" si="205"/>
        <v>2.2499189360533411E-2</v>
      </c>
      <c r="AN240">
        <f t="shared" si="206"/>
        <v>7.1213668386243767E-2</v>
      </c>
      <c r="AO240">
        <f t="shared" si="207"/>
        <v>1.7086469468787779E-2</v>
      </c>
      <c r="AP240">
        <f t="shared" si="208"/>
        <v>0.10368998773671734</v>
      </c>
    </row>
    <row r="241" spans="1:42" x14ac:dyDescent="0.25">
      <c r="A241">
        <v>0.1245</v>
      </c>
      <c r="B241">
        <v>0.77432432432432419</v>
      </c>
      <c r="C241">
        <v>0.76808672053024696</v>
      </c>
      <c r="D241">
        <v>0.56254238686722313</v>
      </c>
      <c r="E241">
        <v>0.77447550788408559</v>
      </c>
      <c r="F241">
        <v>0.81418301202071042</v>
      </c>
      <c r="G241">
        <v>0.77349578194243196</v>
      </c>
      <c r="H241">
        <v>0.76267765911806218</v>
      </c>
      <c r="I241">
        <v>0.78431390476680152</v>
      </c>
      <c r="J241">
        <v>0.70317798358402894</v>
      </c>
      <c r="M241">
        <f t="shared" si="184"/>
        <v>0.88716216216216215</v>
      </c>
      <c r="N241">
        <f t="shared" si="185"/>
        <v>0.88404336026512342</v>
      </c>
      <c r="O241">
        <f t="shared" si="186"/>
        <v>0.78127119343361162</v>
      </c>
      <c r="P241">
        <f t="shared" si="187"/>
        <v>0.88723775394204285</v>
      </c>
      <c r="Q241">
        <f t="shared" si="188"/>
        <v>0.90709150601035526</v>
      </c>
      <c r="R241">
        <f t="shared" si="189"/>
        <v>0.88674789097121598</v>
      </c>
      <c r="S241">
        <f t="shared" si="190"/>
        <v>0.88133882955903109</v>
      </c>
      <c r="T241">
        <f t="shared" si="191"/>
        <v>0.89215695238340076</v>
      </c>
      <c r="U241">
        <f t="shared" si="192"/>
        <v>0.85158899179201453</v>
      </c>
      <c r="X241">
        <f t="shared" si="193"/>
        <v>3.1188018970387255E-3</v>
      </c>
      <c r="Y241">
        <f t="shared" si="194"/>
        <v>0.10589096872855053</v>
      </c>
      <c r="Z241">
        <f t="shared" si="195"/>
        <v>-7.5591779880701537E-5</v>
      </c>
      <c r="AA241">
        <f t="shared" si="196"/>
        <v>-1.9929343848193115E-2</v>
      </c>
      <c r="AB241">
        <f t="shared" si="197"/>
        <v>4.1427119094616938E-4</v>
      </c>
      <c r="AC241">
        <f t="shared" si="198"/>
        <v>5.8233326031310595E-3</v>
      </c>
      <c r="AD241">
        <f t="shared" si="199"/>
        <v>-4.9947902212386097E-3</v>
      </c>
      <c r="AE241">
        <f t="shared" si="200"/>
        <v>3.5573170370147622E-2</v>
      </c>
      <c r="AF241">
        <f>COUNT(X232:X241)</f>
        <v>10</v>
      </c>
      <c r="AI241">
        <f t="shared" si="201"/>
        <v>6.2376037940772289E-3</v>
      </c>
      <c r="AJ241">
        <f t="shared" si="202"/>
        <v>0.21178193745710105</v>
      </c>
      <c r="AK241">
        <f t="shared" si="203"/>
        <v>-1.5118355976140307E-4</v>
      </c>
      <c r="AL241">
        <f t="shared" si="204"/>
        <v>-3.985868769638623E-2</v>
      </c>
      <c r="AM241">
        <f t="shared" si="205"/>
        <v>8.2854238189222773E-4</v>
      </c>
      <c r="AN241">
        <f t="shared" si="206"/>
        <v>1.1646665206262008E-2</v>
      </c>
      <c r="AO241">
        <f t="shared" si="207"/>
        <v>-9.9895804424773305E-3</v>
      </c>
      <c r="AP241">
        <f t="shared" si="208"/>
        <v>7.1146340740295244E-2</v>
      </c>
    </row>
    <row r="242" spans="1:42" s="10" customFormat="1" x14ac:dyDescent="0.25">
      <c r="A242" s="10" t="s">
        <v>79</v>
      </c>
      <c r="M242" s="10">
        <f>AVERAGE(M232:M241)</f>
        <v>0.86118422680837858</v>
      </c>
      <c r="N242" s="10">
        <f t="shared" ref="N242" si="241">AVERAGE(N232:N241)</f>
        <v>0.83989473642722456</v>
      </c>
      <c r="O242" s="10">
        <f t="shared" ref="O242" si="242">AVERAGE(O232:O241)</f>
        <v>0.7564957966499064</v>
      </c>
      <c r="P242" s="10">
        <f t="shared" ref="P242" si="243">AVERAGE(P232:P241)</f>
        <v>0.8425337129530257</v>
      </c>
      <c r="Q242" s="10">
        <f t="shared" ref="Q242" si="244">AVERAGE(Q232:Q241)</f>
        <v>0.86513366965536209</v>
      </c>
      <c r="R242" s="10">
        <f t="shared" ref="R242" si="245">AVERAGE(R232:R241)</f>
        <v>0.8449114456241924</v>
      </c>
      <c r="S242" s="10">
        <f t="shared" ref="S242" si="246">AVERAGE(S232:S241)</f>
        <v>0.84329488076720482</v>
      </c>
      <c r="T242" s="10">
        <f t="shared" ref="T242" si="247">AVERAGE(T232:T241)</f>
        <v>0.84544968048742741</v>
      </c>
      <c r="U242" s="10">
        <f t="shared" ref="U242" si="248">AVERAGE(U232:U241)</f>
        <v>0.81607062317432177</v>
      </c>
      <c r="X242" s="10">
        <f>((M242-N242)/N242)*100</f>
        <v>2.5347807835677179</v>
      </c>
      <c r="Y242" s="10">
        <f>((M242-O242)/O242)*100</f>
        <v>13.838600375848516</v>
      </c>
      <c r="Z242" s="10">
        <f>((M242-P242)/P242)*100</f>
        <v>2.2136222644413892</v>
      </c>
      <c r="AA242" s="10">
        <f>((M242-Q242)/Q242)*100</f>
        <v>-0.45651244258668411</v>
      </c>
      <c r="AB242" s="10">
        <f>((M242-R242)/R242)*100</f>
        <v>1.9259747596583203</v>
      </c>
      <c r="AC242" s="10">
        <f>((M242-S242)/S242)*100</f>
        <v>2.1213630545104887</v>
      </c>
      <c r="AD242" s="10">
        <f>((M242-T242)/T242)*100</f>
        <v>1.8610860804725511</v>
      </c>
      <c r="AE242" s="10">
        <f>((M242-U242)/U242)*100</f>
        <v>5.5281494460094098</v>
      </c>
      <c r="AI242" s="10">
        <f t="shared" si="201"/>
        <v>0</v>
      </c>
      <c r="AJ242" s="10">
        <f t="shared" si="202"/>
        <v>0</v>
      </c>
      <c r="AK242" s="10">
        <f t="shared" si="203"/>
        <v>0</v>
      </c>
      <c r="AL242" s="10">
        <f t="shared" si="204"/>
        <v>0</v>
      </c>
      <c r="AM242" s="10">
        <f t="shared" si="205"/>
        <v>0</v>
      </c>
      <c r="AN242" s="10">
        <f t="shared" si="206"/>
        <v>0</v>
      </c>
      <c r="AO242" s="10">
        <f t="shared" si="207"/>
        <v>0</v>
      </c>
      <c r="AP242" s="10">
        <f t="shared" si="208"/>
        <v>0</v>
      </c>
    </row>
    <row r="243" spans="1:42" x14ac:dyDescent="0.25">
      <c r="A243">
        <v>0.23960000000000001</v>
      </c>
      <c r="B243">
        <v>0.72223326238379848</v>
      </c>
      <c r="C243">
        <v>0.61735101703898299</v>
      </c>
      <c r="D243">
        <v>0.37454086293726069</v>
      </c>
      <c r="E243">
        <v>0.43911659272106129</v>
      </c>
      <c r="F243">
        <v>0.67327948517310032</v>
      </c>
      <c r="G243">
        <v>0.43136254221428028</v>
      </c>
      <c r="H243">
        <v>0.3119144747817858</v>
      </c>
      <c r="I243">
        <v>0.74369335115629809</v>
      </c>
      <c r="J243">
        <v>0.56460943224319637</v>
      </c>
      <c r="M243">
        <f t="shared" si="184"/>
        <v>0.86111663119189918</v>
      </c>
      <c r="N243">
        <f t="shared" si="185"/>
        <v>0.80867550851949144</v>
      </c>
      <c r="O243">
        <f t="shared" si="186"/>
        <v>0.68727043146863032</v>
      </c>
      <c r="P243">
        <f t="shared" si="187"/>
        <v>0.7195582963605307</v>
      </c>
      <c r="Q243">
        <f t="shared" si="188"/>
        <v>0.83663974258655016</v>
      </c>
      <c r="R243">
        <f t="shared" si="189"/>
        <v>0.71568127110714008</v>
      </c>
      <c r="S243">
        <f t="shared" si="190"/>
        <v>0.65595723739089284</v>
      </c>
      <c r="T243">
        <f t="shared" si="191"/>
        <v>0.8718466755781491</v>
      </c>
      <c r="U243">
        <f t="shared" si="192"/>
        <v>0.78230471612159813</v>
      </c>
      <c r="X243">
        <f t="shared" si="193"/>
        <v>5.2441122672407747E-2</v>
      </c>
      <c r="Y243">
        <f t="shared" si="194"/>
        <v>0.17384619972326887</v>
      </c>
      <c r="Z243">
        <f t="shared" si="195"/>
        <v>0.14155833483136848</v>
      </c>
      <c r="AA243">
        <f t="shared" si="196"/>
        <v>2.4476888605349023E-2</v>
      </c>
      <c r="AB243">
        <f t="shared" si="197"/>
        <v>0.1454353600847591</v>
      </c>
      <c r="AC243">
        <f t="shared" si="198"/>
        <v>0.20515939380100634</v>
      </c>
      <c r="AD243">
        <f t="shared" si="199"/>
        <v>-1.0730044386249915E-2</v>
      </c>
      <c r="AE243">
        <f t="shared" si="200"/>
        <v>7.8811915070301053E-2</v>
      </c>
      <c r="AI243">
        <f t="shared" si="201"/>
        <v>0.10488224534481549</v>
      </c>
      <c r="AJ243">
        <f t="shared" si="202"/>
        <v>0.34769239944653779</v>
      </c>
      <c r="AK243">
        <f t="shared" si="203"/>
        <v>0.28311666966273719</v>
      </c>
      <c r="AL243">
        <f t="shared" si="204"/>
        <v>4.8953777210698157E-2</v>
      </c>
      <c r="AM243">
        <f t="shared" si="205"/>
        <v>0.2908707201695182</v>
      </c>
      <c r="AN243">
        <f t="shared" si="206"/>
        <v>0.41031878760201268</v>
      </c>
      <c r="AO243">
        <f t="shared" si="207"/>
        <v>-2.1460088772499608E-2</v>
      </c>
      <c r="AP243">
        <f t="shared" si="208"/>
        <v>0.15762383014060211</v>
      </c>
    </row>
    <row r="244" spans="1:42" x14ac:dyDescent="0.25">
      <c r="A244">
        <v>0.29289999999999999</v>
      </c>
      <c r="B244">
        <v>0.76709258316538009</v>
      </c>
      <c r="C244">
        <v>0.60736955897752665</v>
      </c>
      <c r="D244">
        <v>0.33221978980291672</v>
      </c>
      <c r="E244">
        <v>0.4922271312373393</v>
      </c>
      <c r="F244">
        <v>0.61662782714777709</v>
      </c>
      <c r="G244">
        <v>0.48491361182549508</v>
      </c>
      <c r="H244">
        <v>0.2425437658347252</v>
      </c>
      <c r="I244">
        <v>0.75569663824810429</v>
      </c>
      <c r="J244">
        <v>0.53364531355214795</v>
      </c>
      <c r="M244">
        <f t="shared" si="184"/>
        <v>0.88354629158269005</v>
      </c>
      <c r="N244">
        <f t="shared" si="185"/>
        <v>0.80368477948876338</v>
      </c>
      <c r="O244">
        <f t="shared" si="186"/>
        <v>0.66610989490145833</v>
      </c>
      <c r="P244">
        <f t="shared" si="187"/>
        <v>0.74611356561866971</v>
      </c>
      <c r="Q244">
        <f t="shared" si="188"/>
        <v>0.8083139135738886</v>
      </c>
      <c r="R244">
        <f t="shared" si="189"/>
        <v>0.74245680591274754</v>
      </c>
      <c r="S244">
        <f t="shared" si="190"/>
        <v>0.62127188291736257</v>
      </c>
      <c r="T244">
        <f t="shared" si="191"/>
        <v>0.87784831912405215</v>
      </c>
      <c r="U244">
        <f t="shared" si="192"/>
        <v>0.76682265677607397</v>
      </c>
      <c r="X244">
        <f t="shared" si="193"/>
        <v>7.9861512093926668E-2</v>
      </c>
      <c r="Y244">
        <f t="shared" si="194"/>
        <v>0.21743639668123171</v>
      </c>
      <c r="Z244">
        <f t="shared" si="195"/>
        <v>0.13743272596402034</v>
      </c>
      <c r="AA244">
        <f t="shared" si="196"/>
        <v>7.5232378008801448E-2</v>
      </c>
      <c r="AB244">
        <f t="shared" si="197"/>
        <v>0.1410894856699425</v>
      </c>
      <c r="AC244">
        <f t="shared" si="198"/>
        <v>0.26227440866532747</v>
      </c>
      <c r="AD244">
        <f t="shared" si="199"/>
        <v>5.697972458637901E-3</v>
      </c>
      <c r="AE244">
        <f t="shared" si="200"/>
        <v>0.11672363480661607</v>
      </c>
      <c r="AI244">
        <f t="shared" si="201"/>
        <v>0.15972302418785345</v>
      </c>
      <c r="AJ244">
        <f t="shared" si="202"/>
        <v>0.43487279336246337</v>
      </c>
      <c r="AK244">
        <f t="shared" si="203"/>
        <v>0.27486545192804079</v>
      </c>
      <c r="AL244">
        <f t="shared" si="204"/>
        <v>0.15046475601760301</v>
      </c>
      <c r="AM244">
        <f t="shared" si="205"/>
        <v>0.28217897133988501</v>
      </c>
      <c r="AN244">
        <f t="shared" si="206"/>
        <v>0.52454881733065495</v>
      </c>
      <c r="AO244">
        <f t="shared" si="207"/>
        <v>1.1395944917275802E-2</v>
      </c>
      <c r="AP244">
        <f t="shared" si="208"/>
        <v>0.23344726961323214</v>
      </c>
    </row>
    <row r="245" spans="1:42" x14ac:dyDescent="0.25">
      <c r="A245">
        <v>0.34610000000000002</v>
      </c>
      <c r="B245">
        <v>0.80461921461892205</v>
      </c>
      <c r="C245">
        <v>0.59064761886505446</v>
      </c>
      <c r="D245">
        <v>0.29174528229292518</v>
      </c>
      <c r="E245">
        <v>0.53463416349292825</v>
      </c>
      <c r="F245">
        <v>0.56909333926441252</v>
      </c>
      <c r="G245">
        <v>0.5423142830238582</v>
      </c>
      <c r="H245">
        <v>0.19142432561822439</v>
      </c>
      <c r="I245">
        <v>0.74749620364058722</v>
      </c>
      <c r="J245">
        <v>0.50058869385910099</v>
      </c>
      <c r="M245">
        <f t="shared" si="184"/>
        <v>0.90230960730946097</v>
      </c>
      <c r="N245">
        <f t="shared" si="185"/>
        <v>0.79532380943252723</v>
      </c>
      <c r="O245">
        <f t="shared" si="186"/>
        <v>0.64587264114646259</v>
      </c>
      <c r="P245">
        <f t="shared" si="187"/>
        <v>0.76731708174646407</v>
      </c>
      <c r="Q245">
        <f t="shared" si="188"/>
        <v>0.78454666963220632</v>
      </c>
      <c r="R245">
        <f t="shared" si="189"/>
        <v>0.77115714151192916</v>
      </c>
      <c r="S245">
        <f t="shared" si="190"/>
        <v>0.59571216280911221</v>
      </c>
      <c r="T245">
        <f t="shared" si="191"/>
        <v>0.87374810182029361</v>
      </c>
      <c r="U245">
        <f t="shared" si="192"/>
        <v>0.75029434692955044</v>
      </c>
      <c r="X245">
        <f t="shared" si="193"/>
        <v>0.10698579787693374</v>
      </c>
      <c r="Y245">
        <f t="shared" si="194"/>
        <v>0.25643696616299838</v>
      </c>
      <c r="Z245">
        <f t="shared" si="195"/>
        <v>0.1349925255629969</v>
      </c>
      <c r="AA245">
        <f t="shared" si="196"/>
        <v>0.11776293767725465</v>
      </c>
      <c r="AB245">
        <f t="shared" si="197"/>
        <v>0.13115246579753181</v>
      </c>
      <c r="AC245">
        <f t="shared" si="198"/>
        <v>0.30659744450034876</v>
      </c>
      <c r="AD245">
        <f t="shared" si="199"/>
        <v>2.856150548916736E-2</v>
      </c>
      <c r="AE245">
        <f t="shared" si="200"/>
        <v>0.15201526037991053</v>
      </c>
      <c r="AI245">
        <f t="shared" si="201"/>
        <v>0.21397159575386759</v>
      </c>
      <c r="AJ245">
        <f t="shared" si="202"/>
        <v>0.51287393232599687</v>
      </c>
      <c r="AK245">
        <f t="shared" si="203"/>
        <v>0.2699850511259938</v>
      </c>
      <c r="AL245">
        <f t="shared" si="204"/>
        <v>0.23552587535450953</v>
      </c>
      <c r="AM245">
        <f t="shared" si="205"/>
        <v>0.26230493159506385</v>
      </c>
      <c r="AN245">
        <f t="shared" si="206"/>
        <v>0.61319488900069763</v>
      </c>
      <c r="AO245">
        <f t="shared" si="207"/>
        <v>5.7123010978334832E-2</v>
      </c>
      <c r="AP245">
        <f t="shared" si="208"/>
        <v>0.30403052075982107</v>
      </c>
    </row>
    <row r="246" spans="1:42" x14ac:dyDescent="0.25">
      <c r="A246">
        <v>0.39939999999999998</v>
      </c>
      <c r="B246">
        <v>0.81505433709126296</v>
      </c>
      <c r="C246">
        <v>0.56048331735346868</v>
      </c>
      <c r="D246">
        <v>0.2357790603064345</v>
      </c>
      <c r="E246">
        <v>0.58254555111570583</v>
      </c>
      <c r="F246">
        <v>0.49831164699291741</v>
      </c>
      <c r="G246">
        <v>0.60497811010126379</v>
      </c>
      <c r="H246">
        <v>0.12362918156351201</v>
      </c>
      <c r="I246">
        <v>0.7141732928188812</v>
      </c>
      <c r="J246">
        <v>0.45201823753907588</v>
      </c>
      <c r="M246">
        <f t="shared" si="184"/>
        <v>0.90752716854563142</v>
      </c>
      <c r="N246">
        <f t="shared" si="185"/>
        <v>0.78024165867673434</v>
      </c>
      <c r="O246">
        <f t="shared" si="186"/>
        <v>0.61788953015321724</v>
      </c>
      <c r="P246">
        <f t="shared" si="187"/>
        <v>0.79127277555785291</v>
      </c>
      <c r="Q246">
        <f t="shared" si="188"/>
        <v>0.74915582349645871</v>
      </c>
      <c r="R246">
        <f t="shared" si="189"/>
        <v>0.80248905505063184</v>
      </c>
      <c r="S246">
        <f t="shared" si="190"/>
        <v>0.561814590781756</v>
      </c>
      <c r="T246">
        <f t="shared" si="191"/>
        <v>0.85708664640944066</v>
      </c>
      <c r="U246">
        <f t="shared" si="192"/>
        <v>0.72600911876953789</v>
      </c>
      <c r="X246">
        <f t="shared" si="193"/>
        <v>0.12728550986889708</v>
      </c>
      <c r="Y246">
        <f t="shared" si="194"/>
        <v>0.28963763839241419</v>
      </c>
      <c r="Z246">
        <f t="shared" si="195"/>
        <v>0.11625439298777851</v>
      </c>
      <c r="AA246">
        <f t="shared" si="196"/>
        <v>0.15837134504917272</v>
      </c>
      <c r="AB246">
        <f t="shared" si="197"/>
        <v>0.10503811349499959</v>
      </c>
      <c r="AC246">
        <f t="shared" si="198"/>
        <v>0.34571257776387543</v>
      </c>
      <c r="AD246">
        <f t="shared" si="199"/>
        <v>5.0440522136190769E-2</v>
      </c>
      <c r="AE246">
        <f t="shared" si="200"/>
        <v>0.18151804977609354</v>
      </c>
      <c r="AI246">
        <f t="shared" si="201"/>
        <v>0.25457101973779428</v>
      </c>
      <c r="AJ246">
        <f t="shared" si="202"/>
        <v>0.57927527678482849</v>
      </c>
      <c r="AK246">
        <f t="shared" si="203"/>
        <v>0.23250878597555713</v>
      </c>
      <c r="AL246">
        <f t="shared" si="204"/>
        <v>0.31674269009834555</v>
      </c>
      <c r="AM246">
        <f t="shared" si="205"/>
        <v>0.21007622698999917</v>
      </c>
      <c r="AN246">
        <f t="shared" si="206"/>
        <v>0.69142515552775097</v>
      </c>
      <c r="AO246">
        <f t="shared" si="207"/>
        <v>0.10088104427238176</v>
      </c>
      <c r="AP246">
        <f t="shared" si="208"/>
        <v>0.36303609955218707</v>
      </c>
    </row>
    <row r="247" spans="1:42" x14ac:dyDescent="0.25">
      <c r="A247">
        <v>0.4526</v>
      </c>
      <c r="B247">
        <v>0.80704728102954648</v>
      </c>
      <c r="C247">
        <v>0.53519093653080929</v>
      </c>
      <c r="D247">
        <v>0.19711323938690389</v>
      </c>
      <c r="E247">
        <v>0.61325158585588668</v>
      </c>
      <c r="F247">
        <v>0.44939593169030012</v>
      </c>
      <c r="G247">
        <v>0.65308021637092695</v>
      </c>
      <c r="H247">
        <v>8.4720849281787802E-2</v>
      </c>
      <c r="I247">
        <v>0.68623331398546306</v>
      </c>
      <c r="J247">
        <v>0.41810400586252078</v>
      </c>
      <c r="M247">
        <f t="shared" si="184"/>
        <v>0.9035236405147733</v>
      </c>
      <c r="N247">
        <f t="shared" si="185"/>
        <v>0.7675954682654047</v>
      </c>
      <c r="O247">
        <f t="shared" si="186"/>
        <v>0.59855661969345197</v>
      </c>
      <c r="P247">
        <f t="shared" si="187"/>
        <v>0.80662579292794334</v>
      </c>
      <c r="Q247">
        <f t="shared" si="188"/>
        <v>0.72469796584515001</v>
      </c>
      <c r="R247">
        <f t="shared" si="189"/>
        <v>0.82654010818546353</v>
      </c>
      <c r="S247">
        <f t="shared" si="190"/>
        <v>0.54236042464089396</v>
      </c>
      <c r="T247">
        <f t="shared" si="191"/>
        <v>0.84311665699273153</v>
      </c>
      <c r="U247">
        <f t="shared" si="192"/>
        <v>0.70905200293126036</v>
      </c>
      <c r="X247">
        <f t="shared" si="193"/>
        <v>0.1359281722493686</v>
      </c>
      <c r="Y247">
        <f t="shared" si="194"/>
        <v>0.30496702082132132</v>
      </c>
      <c r="Z247">
        <f t="shared" si="195"/>
        <v>9.6897847586829955E-2</v>
      </c>
      <c r="AA247">
        <f t="shared" si="196"/>
        <v>0.17882567466962329</v>
      </c>
      <c r="AB247">
        <f t="shared" si="197"/>
        <v>7.6983532329309767E-2</v>
      </c>
      <c r="AC247">
        <f t="shared" si="198"/>
        <v>0.36116321587387934</v>
      </c>
      <c r="AD247">
        <f t="shared" si="199"/>
        <v>6.0406983522041768E-2</v>
      </c>
      <c r="AE247">
        <f t="shared" si="200"/>
        <v>0.19447163758351294</v>
      </c>
      <c r="AI247">
        <f t="shared" si="201"/>
        <v>0.27185634449873719</v>
      </c>
      <c r="AJ247">
        <f t="shared" si="202"/>
        <v>0.60993404164264264</v>
      </c>
      <c r="AK247">
        <f t="shared" si="203"/>
        <v>0.1937956951736598</v>
      </c>
      <c r="AL247">
        <f t="shared" si="204"/>
        <v>0.35765134933924636</v>
      </c>
      <c r="AM247">
        <f t="shared" si="205"/>
        <v>0.15396706465861953</v>
      </c>
      <c r="AN247">
        <f t="shared" si="206"/>
        <v>0.72232643174775868</v>
      </c>
      <c r="AO247">
        <f t="shared" si="207"/>
        <v>0.12081396704408343</v>
      </c>
      <c r="AP247">
        <f t="shared" si="208"/>
        <v>0.3889432751670257</v>
      </c>
    </row>
    <row r="248" spans="1:42" x14ac:dyDescent="0.25">
      <c r="A248">
        <v>0.50590000000000002</v>
      </c>
      <c r="B248">
        <v>0.78100917928164582</v>
      </c>
      <c r="C248">
        <v>0.51616009020146003</v>
      </c>
      <c r="D248">
        <v>0.17502035130746321</v>
      </c>
      <c r="E248">
        <v>0.63635642755922095</v>
      </c>
      <c r="F248">
        <v>0.4122415982731607</v>
      </c>
      <c r="G248">
        <v>0.68997664258187608</v>
      </c>
      <c r="H248">
        <v>6.3490798323676906E-2</v>
      </c>
      <c r="I248">
        <v>0.65994558910780199</v>
      </c>
      <c r="J248">
        <v>0.39443963584280589</v>
      </c>
      <c r="M248">
        <f t="shared" si="184"/>
        <v>0.89050458964082291</v>
      </c>
      <c r="N248">
        <f t="shared" si="185"/>
        <v>0.75808004510073002</v>
      </c>
      <c r="O248">
        <f t="shared" si="186"/>
        <v>0.58751017565373165</v>
      </c>
      <c r="P248">
        <f t="shared" si="187"/>
        <v>0.81817821377961053</v>
      </c>
      <c r="Q248">
        <f t="shared" si="188"/>
        <v>0.70612079913658032</v>
      </c>
      <c r="R248">
        <f t="shared" si="189"/>
        <v>0.84498832129093804</v>
      </c>
      <c r="S248">
        <f t="shared" si="190"/>
        <v>0.53174539916183849</v>
      </c>
      <c r="T248">
        <f t="shared" si="191"/>
        <v>0.82997279455390105</v>
      </c>
      <c r="U248">
        <f t="shared" si="192"/>
        <v>0.69721981792140297</v>
      </c>
      <c r="X248">
        <f t="shared" si="193"/>
        <v>0.13242454454009289</v>
      </c>
      <c r="Y248">
        <f t="shared" si="194"/>
        <v>0.30299441398709126</v>
      </c>
      <c r="Z248">
        <f t="shared" si="195"/>
        <v>7.2326375861212377E-2</v>
      </c>
      <c r="AA248">
        <f t="shared" si="196"/>
        <v>0.18438379050424258</v>
      </c>
      <c r="AB248">
        <f t="shared" si="197"/>
        <v>4.551626834988487E-2</v>
      </c>
      <c r="AC248">
        <f t="shared" si="198"/>
        <v>0.35875919047898441</v>
      </c>
      <c r="AD248">
        <f t="shared" si="199"/>
        <v>6.0531795086921858E-2</v>
      </c>
      <c r="AE248">
        <f t="shared" si="200"/>
        <v>0.19328477171941993</v>
      </c>
      <c r="AI248">
        <f t="shared" si="201"/>
        <v>0.26484908908018578</v>
      </c>
      <c r="AJ248">
        <f t="shared" si="202"/>
        <v>0.60598882797418263</v>
      </c>
      <c r="AK248">
        <f t="shared" si="203"/>
        <v>0.14465275172242487</v>
      </c>
      <c r="AL248">
        <f t="shared" si="204"/>
        <v>0.36876758100848511</v>
      </c>
      <c r="AM248">
        <f t="shared" si="205"/>
        <v>9.1032536699769739E-2</v>
      </c>
      <c r="AN248">
        <f t="shared" si="206"/>
        <v>0.71751838095796894</v>
      </c>
      <c r="AO248">
        <f t="shared" si="207"/>
        <v>0.12106359017384383</v>
      </c>
      <c r="AP248">
        <f t="shared" si="208"/>
        <v>0.38656954343883992</v>
      </c>
    </row>
    <row r="249" spans="1:42" x14ac:dyDescent="0.25">
      <c r="A249">
        <v>0.55910000000000004</v>
      </c>
      <c r="B249">
        <v>0.7466505179212336</v>
      </c>
      <c r="C249">
        <v>0.50420356703585145</v>
      </c>
      <c r="D249">
        <v>0.15178240911723309</v>
      </c>
      <c r="E249">
        <v>0.66453288401153443</v>
      </c>
      <c r="F249">
        <v>0.38369964089020719</v>
      </c>
      <c r="G249">
        <v>0.71874452309224035</v>
      </c>
      <c r="H249">
        <v>4.8425714648774897E-2</v>
      </c>
      <c r="I249">
        <v>0.64281700531724684</v>
      </c>
      <c r="J249">
        <v>0.37538692696860287</v>
      </c>
      <c r="M249">
        <f t="shared" si="184"/>
        <v>0.87332525896061686</v>
      </c>
      <c r="N249">
        <f t="shared" si="185"/>
        <v>0.75210178351792578</v>
      </c>
      <c r="O249">
        <f t="shared" si="186"/>
        <v>0.57589120455861653</v>
      </c>
      <c r="P249">
        <f t="shared" si="187"/>
        <v>0.83226644200576727</v>
      </c>
      <c r="Q249">
        <f t="shared" si="188"/>
        <v>0.69184982044510357</v>
      </c>
      <c r="R249">
        <f t="shared" si="189"/>
        <v>0.85937226154612012</v>
      </c>
      <c r="S249">
        <f t="shared" si="190"/>
        <v>0.52421285732438749</v>
      </c>
      <c r="T249">
        <f t="shared" si="191"/>
        <v>0.82140850265862342</v>
      </c>
      <c r="U249">
        <f t="shared" si="192"/>
        <v>0.68769346348430149</v>
      </c>
      <c r="X249">
        <f t="shared" si="193"/>
        <v>0.12122347544269108</v>
      </c>
      <c r="Y249">
        <f t="shared" si="194"/>
        <v>0.29743405440200033</v>
      </c>
      <c r="Z249">
        <f t="shared" si="195"/>
        <v>4.1058816954849586E-2</v>
      </c>
      <c r="AA249">
        <f t="shared" si="196"/>
        <v>0.18147543851551329</v>
      </c>
      <c r="AB249">
        <f t="shared" si="197"/>
        <v>1.3952997414496737E-2</v>
      </c>
      <c r="AC249">
        <f t="shared" si="198"/>
        <v>0.34911240163622936</v>
      </c>
      <c r="AD249">
        <f t="shared" si="199"/>
        <v>5.1916756301993439E-2</v>
      </c>
      <c r="AE249">
        <f t="shared" si="200"/>
        <v>0.18563179547631536</v>
      </c>
      <c r="AI249">
        <f t="shared" si="201"/>
        <v>0.24244695088538215</v>
      </c>
      <c r="AJ249">
        <f t="shared" si="202"/>
        <v>0.59486810880400054</v>
      </c>
      <c r="AK249">
        <f t="shared" si="203"/>
        <v>8.2117633909699173E-2</v>
      </c>
      <c r="AL249">
        <f t="shared" si="204"/>
        <v>0.36295087703102641</v>
      </c>
      <c r="AM249">
        <f t="shared" si="205"/>
        <v>2.7905994828993252E-2</v>
      </c>
      <c r="AN249">
        <f t="shared" si="206"/>
        <v>0.69822480327245873</v>
      </c>
      <c r="AO249">
        <f t="shared" si="207"/>
        <v>0.10383351260398677</v>
      </c>
      <c r="AP249">
        <f t="shared" si="208"/>
        <v>0.37126359095263073</v>
      </c>
    </row>
    <row r="250" spans="1:42" x14ac:dyDescent="0.25">
      <c r="A250">
        <v>0.61240000000000006</v>
      </c>
      <c r="B250">
        <v>0.73529578274939034</v>
      </c>
      <c r="C250">
        <v>0.49658573315277571</v>
      </c>
      <c r="D250">
        <v>0.13939382887040869</v>
      </c>
      <c r="E250">
        <v>0.6806500544080939</v>
      </c>
      <c r="F250">
        <v>0.37424282367566453</v>
      </c>
      <c r="G250">
        <v>0.72835042523635662</v>
      </c>
      <c r="H250">
        <v>4.3004710522265198E-2</v>
      </c>
      <c r="I250">
        <v>0.63607989339342685</v>
      </c>
      <c r="J250">
        <v>0.36522269699513848</v>
      </c>
      <c r="M250">
        <f t="shared" si="184"/>
        <v>0.86764789137469522</v>
      </c>
      <c r="N250">
        <f t="shared" si="185"/>
        <v>0.74829286657638783</v>
      </c>
      <c r="O250">
        <f t="shared" si="186"/>
        <v>0.56969691443520432</v>
      </c>
      <c r="P250">
        <f t="shared" si="187"/>
        <v>0.840325027204047</v>
      </c>
      <c r="Q250">
        <f t="shared" si="188"/>
        <v>0.68712141183783226</v>
      </c>
      <c r="R250">
        <f t="shared" si="189"/>
        <v>0.86417521261817831</v>
      </c>
      <c r="S250">
        <f t="shared" si="190"/>
        <v>0.52150235526113264</v>
      </c>
      <c r="T250">
        <f t="shared" si="191"/>
        <v>0.81803994669671343</v>
      </c>
      <c r="U250">
        <f t="shared" si="192"/>
        <v>0.68261134849756921</v>
      </c>
      <c r="X250">
        <f t="shared" si="193"/>
        <v>0.1193550247983074</v>
      </c>
      <c r="Y250">
        <f t="shared" si="194"/>
        <v>0.29795097693949091</v>
      </c>
      <c r="Z250">
        <f t="shared" si="195"/>
        <v>2.732286417064822E-2</v>
      </c>
      <c r="AA250">
        <f t="shared" si="196"/>
        <v>0.18052647953686296</v>
      </c>
      <c r="AB250">
        <f t="shared" si="197"/>
        <v>3.4726787565169115E-3</v>
      </c>
      <c r="AC250">
        <f t="shared" si="198"/>
        <v>0.34614553611356258</v>
      </c>
      <c r="AD250">
        <f t="shared" si="199"/>
        <v>4.9607944677981797E-2</v>
      </c>
      <c r="AE250">
        <f t="shared" si="200"/>
        <v>0.18503654287712601</v>
      </c>
      <c r="AI250">
        <f t="shared" si="201"/>
        <v>0.23871004959661463</v>
      </c>
      <c r="AJ250">
        <f t="shared" si="202"/>
        <v>0.59590195387898159</v>
      </c>
      <c r="AK250">
        <f t="shared" si="203"/>
        <v>5.464572834129644E-2</v>
      </c>
      <c r="AL250">
        <f t="shared" si="204"/>
        <v>0.36105295907372581</v>
      </c>
      <c r="AM250">
        <f t="shared" si="205"/>
        <v>6.945357513033712E-3</v>
      </c>
      <c r="AN250">
        <f t="shared" si="206"/>
        <v>0.69229107222712516</v>
      </c>
      <c r="AO250">
        <f t="shared" si="207"/>
        <v>9.9215889355963482E-2</v>
      </c>
      <c r="AP250">
        <f t="shared" si="208"/>
        <v>0.37007308575425185</v>
      </c>
    </row>
    <row r="251" spans="1:42" x14ac:dyDescent="0.25">
      <c r="A251">
        <v>0.66559999999999997</v>
      </c>
      <c r="B251">
        <v>0.74115186013541023</v>
      </c>
      <c r="C251">
        <v>0.50975908521601987</v>
      </c>
      <c r="D251">
        <v>0.1443165440028932</v>
      </c>
      <c r="E251">
        <v>0.69485104401396391</v>
      </c>
      <c r="F251">
        <v>0.38489965221516448</v>
      </c>
      <c r="G251">
        <v>0.72409885719328781</v>
      </c>
      <c r="H251">
        <v>5.1154661069778597E-2</v>
      </c>
      <c r="I251">
        <v>0.64998539582173398</v>
      </c>
      <c r="J251">
        <v>0.37583489348978688</v>
      </c>
      <c r="M251">
        <f t="shared" si="184"/>
        <v>0.87057593006770517</v>
      </c>
      <c r="N251">
        <f t="shared" si="185"/>
        <v>0.75487954260800993</v>
      </c>
      <c r="O251">
        <f t="shared" si="186"/>
        <v>0.57215827200144664</v>
      </c>
      <c r="P251">
        <f t="shared" si="187"/>
        <v>0.84742552200698196</v>
      </c>
      <c r="Q251">
        <f t="shared" si="188"/>
        <v>0.69244982610758221</v>
      </c>
      <c r="R251">
        <f t="shared" si="189"/>
        <v>0.86204942859664391</v>
      </c>
      <c r="S251">
        <f t="shared" si="190"/>
        <v>0.52557733053488931</v>
      </c>
      <c r="T251">
        <f t="shared" si="191"/>
        <v>0.82499269791086705</v>
      </c>
      <c r="U251">
        <f t="shared" si="192"/>
        <v>0.68791744674489341</v>
      </c>
      <c r="X251">
        <f t="shared" si="193"/>
        <v>0.11569638745969524</v>
      </c>
      <c r="Y251">
        <f t="shared" si="194"/>
        <v>0.29841765806625853</v>
      </c>
      <c r="Z251">
        <f t="shared" si="195"/>
        <v>2.3150408060723215E-2</v>
      </c>
      <c r="AA251">
        <f t="shared" si="196"/>
        <v>0.17812610396012296</v>
      </c>
      <c r="AB251">
        <f t="shared" si="197"/>
        <v>8.5265014710612652E-3</v>
      </c>
      <c r="AC251">
        <f t="shared" si="198"/>
        <v>0.34499859953281586</v>
      </c>
      <c r="AD251">
        <f t="shared" si="199"/>
        <v>4.5583232156838127E-2</v>
      </c>
      <c r="AE251">
        <f t="shared" si="200"/>
        <v>0.18265848332281176</v>
      </c>
      <c r="AI251">
        <f t="shared" si="201"/>
        <v>0.23139277491939036</v>
      </c>
      <c r="AJ251">
        <f t="shared" si="202"/>
        <v>0.59683531613251706</v>
      </c>
      <c r="AK251">
        <f t="shared" si="203"/>
        <v>4.630081612144632E-2</v>
      </c>
      <c r="AL251">
        <f t="shared" si="204"/>
        <v>0.35625220792024576</v>
      </c>
      <c r="AM251">
        <f t="shared" si="205"/>
        <v>1.7053002942122419E-2</v>
      </c>
      <c r="AN251">
        <f t="shared" si="206"/>
        <v>0.68999719906563162</v>
      </c>
      <c r="AO251">
        <f t="shared" si="207"/>
        <v>9.1166464313676254E-2</v>
      </c>
      <c r="AP251">
        <f t="shared" si="208"/>
        <v>0.36531696664562335</v>
      </c>
    </row>
    <row r="252" spans="1:42" x14ac:dyDescent="0.25">
      <c r="A252">
        <v>0.71889999999999998</v>
      </c>
      <c r="B252">
        <v>0.7467629134964453</v>
      </c>
      <c r="C252">
        <v>0.52719787100177373</v>
      </c>
      <c r="D252">
        <v>0.16364413480518289</v>
      </c>
      <c r="E252">
        <v>0.69256776331854741</v>
      </c>
      <c r="F252">
        <v>0.40718548466651427</v>
      </c>
      <c r="G252">
        <v>0.70032186396564611</v>
      </c>
      <c r="H252">
        <v>6.5447390436631697E-2</v>
      </c>
      <c r="I252">
        <v>0.66383359889278826</v>
      </c>
      <c r="J252">
        <v>0.3959552312327716</v>
      </c>
      <c r="M252">
        <f t="shared" si="184"/>
        <v>0.87338145674822265</v>
      </c>
      <c r="N252">
        <f t="shared" si="185"/>
        <v>0.76359893550088687</v>
      </c>
      <c r="O252">
        <f t="shared" si="186"/>
        <v>0.58182206740259146</v>
      </c>
      <c r="P252">
        <f t="shared" si="187"/>
        <v>0.84628388165927371</v>
      </c>
      <c r="Q252">
        <f t="shared" si="188"/>
        <v>0.70359274233325708</v>
      </c>
      <c r="R252">
        <f t="shared" si="189"/>
        <v>0.85016093198282305</v>
      </c>
      <c r="S252">
        <f t="shared" si="190"/>
        <v>0.53272369521831586</v>
      </c>
      <c r="T252">
        <f t="shared" si="191"/>
        <v>0.83191679944639407</v>
      </c>
      <c r="U252">
        <f t="shared" si="192"/>
        <v>0.69797761561638583</v>
      </c>
      <c r="X252">
        <f t="shared" si="193"/>
        <v>0.10978252124733578</v>
      </c>
      <c r="Y252">
        <f t="shared" si="194"/>
        <v>0.29155938934563119</v>
      </c>
      <c r="Z252">
        <f t="shared" si="195"/>
        <v>2.7097575088948944E-2</v>
      </c>
      <c r="AA252">
        <f t="shared" si="196"/>
        <v>0.16978871441496557</v>
      </c>
      <c r="AB252">
        <f t="shared" si="197"/>
        <v>2.3220524765399597E-2</v>
      </c>
      <c r="AC252">
        <f t="shared" si="198"/>
        <v>0.34065776152990679</v>
      </c>
      <c r="AD252">
        <f t="shared" si="199"/>
        <v>4.1464657301828578E-2</v>
      </c>
      <c r="AE252">
        <f t="shared" si="200"/>
        <v>0.17540384113183682</v>
      </c>
      <c r="AF252">
        <f>COUNT(X243:X252)</f>
        <v>10</v>
      </c>
      <c r="AI252">
        <f t="shared" si="201"/>
        <v>0.21956504249467157</v>
      </c>
      <c r="AJ252">
        <f t="shared" si="202"/>
        <v>0.58311877869126238</v>
      </c>
      <c r="AK252">
        <f t="shared" si="203"/>
        <v>5.4195150177897888E-2</v>
      </c>
      <c r="AL252">
        <f t="shared" si="204"/>
        <v>0.33957742882993103</v>
      </c>
      <c r="AM252">
        <f t="shared" si="205"/>
        <v>4.6441049530799194E-2</v>
      </c>
      <c r="AN252">
        <f t="shared" si="206"/>
        <v>0.68131552305981358</v>
      </c>
      <c r="AO252">
        <f t="shared" si="207"/>
        <v>8.2929314603657045E-2</v>
      </c>
      <c r="AP252">
        <f t="shared" si="208"/>
        <v>0.3508076822636737</v>
      </c>
    </row>
    <row r="253" spans="1:42" s="10" customFormat="1" x14ac:dyDescent="0.25">
      <c r="A253" s="10" t="s">
        <v>72</v>
      </c>
      <c r="M253" s="10">
        <f>AVERAGE(M243:M252)</f>
        <v>0.88334584659365201</v>
      </c>
      <c r="N253" s="10">
        <f t="shared" ref="N253" si="249">AVERAGE(N243:N252)</f>
        <v>0.77324743976868615</v>
      </c>
      <c r="O253" s="10">
        <f t="shared" ref="O253" si="250">AVERAGE(O243:O252)</f>
        <v>0.61027777514148118</v>
      </c>
      <c r="P253" s="10">
        <f t="shared" ref="P253" si="251">AVERAGE(P243:P252)</f>
        <v>0.80153665988671408</v>
      </c>
      <c r="Q253" s="10">
        <f t="shared" ref="Q253" si="252">AVERAGE(Q243:Q252)</f>
        <v>0.73844887149946081</v>
      </c>
      <c r="R253" s="10">
        <f t="shared" ref="R253" si="253">AVERAGE(R243:R252)</f>
        <v>0.81390705378026174</v>
      </c>
      <c r="S253" s="10">
        <f t="shared" ref="S253" si="254">AVERAGE(S243:S252)</f>
        <v>0.56128779360405812</v>
      </c>
      <c r="T253" s="10">
        <f t="shared" ref="T253" si="255">AVERAGE(T243:T252)</f>
        <v>0.84499771411911662</v>
      </c>
      <c r="U253" s="10">
        <f t="shared" ref="U253" si="256">AVERAGE(U243:U252)</f>
        <v>0.71879025337925739</v>
      </c>
      <c r="X253" s="10">
        <f>((M253-N253)/N253)*100</f>
        <v>14.238444405053748</v>
      </c>
      <c r="Y253" s="10">
        <f>((M253-O253)/O253)*100</f>
        <v>44.744882179080705</v>
      </c>
      <c r="Z253" s="10">
        <f>((M253-P253)/P253)*100</f>
        <v>10.206543356170448</v>
      </c>
      <c r="AA253" s="10">
        <f>((M253-Q253)/Q253)*100</f>
        <v>19.621801953596322</v>
      </c>
      <c r="AB253" s="10">
        <f>((M253-R253)/R253)*100</f>
        <v>8.5315383975204284</v>
      </c>
      <c r="AC253" s="10">
        <f>((M253-S253)/S253)*100</f>
        <v>57.3784173929104</v>
      </c>
      <c r="AD253" s="10">
        <f>((M253-T253)/T253)*100</f>
        <v>4.5382528063418617</v>
      </c>
      <c r="AE253" s="10">
        <f>((M253-U253)/U253)*100</f>
        <v>22.89340909128461</v>
      </c>
      <c r="AI253" s="10">
        <f t="shared" si="201"/>
        <v>0</v>
      </c>
      <c r="AJ253" s="10">
        <f t="shared" si="202"/>
        <v>0</v>
      </c>
      <c r="AK253" s="10">
        <f t="shared" si="203"/>
        <v>0</v>
      </c>
      <c r="AL253" s="10">
        <f t="shared" si="204"/>
        <v>0</v>
      </c>
      <c r="AM253" s="10">
        <f t="shared" si="205"/>
        <v>0</v>
      </c>
      <c r="AN253" s="10">
        <f t="shared" si="206"/>
        <v>0</v>
      </c>
      <c r="AO253" s="10">
        <f t="shared" si="207"/>
        <v>0</v>
      </c>
      <c r="AP253" s="10">
        <f t="shared" si="208"/>
        <v>0</v>
      </c>
    </row>
    <row r="254" spans="1:42" x14ac:dyDescent="0.25">
      <c r="A254">
        <v>0.1206</v>
      </c>
      <c r="B254">
        <v>0.68573693284280246</v>
      </c>
      <c r="C254">
        <v>0.68130432663347729</v>
      </c>
      <c r="D254">
        <v>0.6029543787340671</v>
      </c>
      <c r="E254">
        <v>0.56397736447606561</v>
      </c>
      <c r="F254">
        <v>0.6844063901365901</v>
      </c>
      <c r="G254">
        <v>0.54033752970199267</v>
      </c>
      <c r="H254">
        <v>0.40159622798195671</v>
      </c>
      <c r="I254">
        <v>0.71232355228146205</v>
      </c>
      <c r="J254">
        <v>0.67021538902551048</v>
      </c>
      <c r="M254">
        <f t="shared" si="184"/>
        <v>0.84286846642140123</v>
      </c>
      <c r="N254">
        <f t="shared" si="185"/>
        <v>0.84065216331673864</v>
      </c>
      <c r="O254">
        <f t="shared" si="186"/>
        <v>0.8014771893670336</v>
      </c>
      <c r="P254">
        <f t="shared" si="187"/>
        <v>0.78198868223803286</v>
      </c>
      <c r="Q254">
        <f t="shared" si="188"/>
        <v>0.84220319506829511</v>
      </c>
      <c r="R254">
        <f t="shared" si="189"/>
        <v>0.77016876485099628</v>
      </c>
      <c r="S254">
        <f t="shared" si="190"/>
        <v>0.70079811399097836</v>
      </c>
      <c r="T254">
        <f t="shared" si="191"/>
        <v>0.85616177614073097</v>
      </c>
      <c r="U254">
        <f t="shared" si="192"/>
        <v>0.83510769451275524</v>
      </c>
      <c r="X254">
        <f t="shared" si="193"/>
        <v>2.216303104662587E-3</v>
      </c>
      <c r="Y254">
        <f t="shared" si="194"/>
        <v>4.1391277054367626E-2</v>
      </c>
      <c r="Z254">
        <f t="shared" si="195"/>
        <v>6.0879784183368368E-2</v>
      </c>
      <c r="AA254">
        <f t="shared" si="196"/>
        <v>6.6527135310612273E-4</v>
      </c>
      <c r="AB254">
        <f t="shared" si="197"/>
        <v>7.2699701570404951E-2</v>
      </c>
      <c r="AC254">
        <f t="shared" si="198"/>
        <v>0.14207035243042287</v>
      </c>
      <c r="AD254">
        <f t="shared" si="199"/>
        <v>-1.3293309719329738E-2</v>
      </c>
      <c r="AE254">
        <f t="shared" si="200"/>
        <v>7.7607719086459914E-3</v>
      </c>
      <c r="AI254">
        <f t="shared" si="201"/>
        <v>4.4326062093251739E-3</v>
      </c>
      <c r="AJ254">
        <f t="shared" si="202"/>
        <v>8.2782554108735362E-2</v>
      </c>
      <c r="AK254">
        <f t="shared" si="203"/>
        <v>0.12175956836673685</v>
      </c>
      <c r="AL254">
        <f t="shared" si="204"/>
        <v>1.3305427062123565E-3</v>
      </c>
      <c r="AM254">
        <f t="shared" si="205"/>
        <v>0.14539940314080979</v>
      </c>
      <c r="AN254">
        <f t="shared" si="206"/>
        <v>0.28414070486084575</v>
      </c>
      <c r="AO254">
        <f t="shared" si="207"/>
        <v>-2.6586619438659587E-2</v>
      </c>
      <c r="AP254">
        <f t="shared" si="208"/>
        <v>1.5521543817291983E-2</v>
      </c>
    </row>
    <row r="255" spans="1:42" x14ac:dyDescent="0.25">
      <c r="A255">
        <v>0.1474</v>
      </c>
      <c r="B255">
        <v>0.73805205834195053</v>
      </c>
      <c r="C255">
        <v>0.70997064878189187</v>
      </c>
      <c r="D255">
        <v>0.56733594465128478</v>
      </c>
      <c r="E255">
        <v>0.63278088064522831</v>
      </c>
      <c r="F255">
        <v>0.65151700961103842</v>
      </c>
      <c r="G255">
        <v>0.6024550296101292</v>
      </c>
      <c r="H255">
        <v>0.36580786305989488</v>
      </c>
      <c r="I255">
        <v>0.73825069340624483</v>
      </c>
      <c r="J255">
        <v>0.68429839340199794</v>
      </c>
      <c r="M255">
        <f t="shared" si="184"/>
        <v>0.86902602917097527</v>
      </c>
      <c r="N255">
        <f t="shared" si="185"/>
        <v>0.85498532439094599</v>
      </c>
      <c r="O255">
        <f t="shared" si="186"/>
        <v>0.78366797232564234</v>
      </c>
      <c r="P255">
        <f t="shared" si="187"/>
        <v>0.8163904403226141</v>
      </c>
      <c r="Q255">
        <f t="shared" si="188"/>
        <v>0.82575850480551916</v>
      </c>
      <c r="R255">
        <f t="shared" si="189"/>
        <v>0.8012275148050646</v>
      </c>
      <c r="S255">
        <f t="shared" si="190"/>
        <v>0.68290393152994744</v>
      </c>
      <c r="T255">
        <f t="shared" si="191"/>
        <v>0.86912534670312236</v>
      </c>
      <c r="U255">
        <f t="shared" si="192"/>
        <v>0.84214919670099897</v>
      </c>
      <c r="X255">
        <f t="shared" si="193"/>
        <v>1.4040704780029278E-2</v>
      </c>
      <c r="Y255">
        <f t="shared" si="194"/>
        <v>8.535805684533293E-2</v>
      </c>
      <c r="Z255">
        <f t="shared" si="195"/>
        <v>5.263558884836117E-2</v>
      </c>
      <c r="AA255">
        <f t="shared" si="196"/>
        <v>4.3267524365456111E-2</v>
      </c>
      <c r="AB255">
        <f t="shared" si="197"/>
        <v>6.7798514365910667E-2</v>
      </c>
      <c r="AC255">
        <f t="shared" si="198"/>
        <v>0.18612209764102783</v>
      </c>
      <c r="AD255">
        <f t="shared" si="199"/>
        <v>-9.9317532147091825E-5</v>
      </c>
      <c r="AE255">
        <f t="shared" si="200"/>
        <v>2.6876832469976297E-2</v>
      </c>
      <c r="AI255">
        <f t="shared" si="201"/>
        <v>2.8081409560058668E-2</v>
      </c>
      <c r="AJ255">
        <f t="shared" si="202"/>
        <v>0.17071611369066575</v>
      </c>
      <c r="AK255">
        <f t="shared" si="203"/>
        <v>0.10527117769672223</v>
      </c>
      <c r="AL255">
        <f t="shared" si="204"/>
        <v>8.6535048730912112E-2</v>
      </c>
      <c r="AM255">
        <f t="shared" si="205"/>
        <v>0.13559702873182133</v>
      </c>
      <c r="AN255">
        <f t="shared" si="206"/>
        <v>0.37224419528205566</v>
      </c>
      <c r="AO255">
        <f t="shared" si="207"/>
        <v>-1.9863506429429467E-4</v>
      </c>
      <c r="AP255">
        <f t="shared" si="208"/>
        <v>5.3753664939952595E-2</v>
      </c>
    </row>
    <row r="256" spans="1:42" x14ac:dyDescent="0.25">
      <c r="A256">
        <v>0.17419999999999999</v>
      </c>
      <c r="B256">
        <v>0.76374439623596713</v>
      </c>
      <c r="C256">
        <v>0.6963936211249927</v>
      </c>
      <c r="D256">
        <v>0.54628332401444135</v>
      </c>
      <c r="E256">
        <v>0.64666293042634637</v>
      </c>
      <c r="F256">
        <v>0.62460645614110077</v>
      </c>
      <c r="G256">
        <v>0.62560827566667276</v>
      </c>
      <c r="H256">
        <v>0.33458653979628</v>
      </c>
      <c r="I256">
        <v>0.7361788440064877</v>
      </c>
      <c r="J256">
        <v>0.66718359316550779</v>
      </c>
      <c r="M256">
        <f t="shared" si="184"/>
        <v>0.88187219811798356</v>
      </c>
      <c r="N256">
        <f t="shared" si="185"/>
        <v>0.84819681056249641</v>
      </c>
      <c r="O256">
        <f t="shared" si="186"/>
        <v>0.77314166200722068</v>
      </c>
      <c r="P256">
        <f t="shared" si="187"/>
        <v>0.82333146521317313</v>
      </c>
      <c r="Q256">
        <f t="shared" si="188"/>
        <v>0.81230322807055044</v>
      </c>
      <c r="R256">
        <f t="shared" si="189"/>
        <v>0.81280413783333638</v>
      </c>
      <c r="S256">
        <f t="shared" si="190"/>
        <v>0.66729326989813997</v>
      </c>
      <c r="T256">
        <f t="shared" si="191"/>
        <v>0.86808942200324379</v>
      </c>
      <c r="U256">
        <f t="shared" si="192"/>
        <v>0.83359179658275395</v>
      </c>
      <c r="X256">
        <f t="shared" si="193"/>
        <v>3.3675387555487157E-2</v>
      </c>
      <c r="Y256">
        <f t="shared" si="194"/>
        <v>0.10873053611076289</v>
      </c>
      <c r="Z256">
        <f t="shared" si="195"/>
        <v>5.8540732904810433E-2</v>
      </c>
      <c r="AA256">
        <f t="shared" si="196"/>
        <v>6.9568970047433121E-2</v>
      </c>
      <c r="AB256">
        <f t="shared" si="197"/>
        <v>6.9068060284647181E-2</v>
      </c>
      <c r="AC256">
        <f t="shared" si="198"/>
        <v>0.21457892821984359</v>
      </c>
      <c r="AD256">
        <f t="shared" si="199"/>
        <v>1.378277611473977E-2</v>
      </c>
      <c r="AE256">
        <f t="shared" si="200"/>
        <v>4.8280401535229611E-2</v>
      </c>
      <c r="AI256">
        <f t="shared" si="201"/>
        <v>6.7350775110974426E-2</v>
      </c>
      <c r="AJ256">
        <f t="shared" si="202"/>
        <v>0.21746107222152578</v>
      </c>
      <c r="AK256">
        <f t="shared" si="203"/>
        <v>0.11708146580962076</v>
      </c>
      <c r="AL256">
        <f t="shared" si="204"/>
        <v>0.13913794009486635</v>
      </c>
      <c r="AM256">
        <f t="shared" si="205"/>
        <v>0.13813612056929436</v>
      </c>
      <c r="AN256">
        <f t="shared" si="206"/>
        <v>0.42915785643968712</v>
      </c>
      <c r="AO256">
        <f t="shared" si="207"/>
        <v>2.7565552229479429E-2</v>
      </c>
      <c r="AP256">
        <f t="shared" si="208"/>
        <v>9.6560803070459333E-2</v>
      </c>
    </row>
    <row r="257" spans="1:42" x14ac:dyDescent="0.25">
      <c r="A257">
        <v>0.20100000000000001</v>
      </c>
      <c r="B257">
        <v>0.8194311075195474</v>
      </c>
      <c r="C257">
        <v>0.70788695221519116</v>
      </c>
      <c r="D257">
        <v>0.52413636057952873</v>
      </c>
      <c r="E257">
        <v>0.69981867216245841</v>
      </c>
      <c r="F257">
        <v>0.59266423458801576</v>
      </c>
      <c r="G257">
        <v>0.68005575458841039</v>
      </c>
      <c r="H257">
        <v>0.2846437129847661</v>
      </c>
      <c r="I257">
        <v>0.7471345830747429</v>
      </c>
      <c r="J257">
        <v>0.67300044614844134</v>
      </c>
      <c r="M257">
        <f t="shared" si="184"/>
        <v>0.90971555375977364</v>
      </c>
      <c r="N257">
        <f t="shared" si="185"/>
        <v>0.85394347610759558</v>
      </c>
      <c r="O257">
        <f t="shared" si="186"/>
        <v>0.76206818028976442</v>
      </c>
      <c r="P257">
        <f t="shared" si="187"/>
        <v>0.84990933608122921</v>
      </c>
      <c r="Q257">
        <f t="shared" si="188"/>
        <v>0.79633211729400788</v>
      </c>
      <c r="R257">
        <f t="shared" si="189"/>
        <v>0.84002787729420514</v>
      </c>
      <c r="S257">
        <f t="shared" si="190"/>
        <v>0.64232185649238305</v>
      </c>
      <c r="T257">
        <f t="shared" si="191"/>
        <v>0.87356729153737145</v>
      </c>
      <c r="U257">
        <f t="shared" si="192"/>
        <v>0.83650022307422067</v>
      </c>
      <c r="X257">
        <f t="shared" si="193"/>
        <v>5.5772077652178065E-2</v>
      </c>
      <c r="Y257">
        <f t="shared" si="194"/>
        <v>0.14764737347000922</v>
      </c>
      <c r="Z257">
        <f t="shared" si="195"/>
        <v>5.9806217678544438E-2</v>
      </c>
      <c r="AA257">
        <f t="shared" si="196"/>
        <v>0.11338343646576576</v>
      </c>
      <c r="AB257">
        <f t="shared" si="197"/>
        <v>6.9687676465568504E-2</v>
      </c>
      <c r="AC257">
        <f t="shared" si="198"/>
        <v>0.2673936972673906</v>
      </c>
      <c r="AD257">
        <f t="shared" si="199"/>
        <v>3.6148262222402194E-2</v>
      </c>
      <c r="AE257">
        <f t="shared" si="200"/>
        <v>7.3215330685552971E-2</v>
      </c>
      <c r="AI257">
        <f t="shared" si="201"/>
        <v>0.11154415530435624</v>
      </c>
      <c r="AJ257">
        <f t="shared" si="202"/>
        <v>0.29529474694001867</v>
      </c>
      <c r="AK257">
        <f t="shared" si="203"/>
        <v>0.11961243535708899</v>
      </c>
      <c r="AL257">
        <f t="shared" si="204"/>
        <v>0.22676687293153164</v>
      </c>
      <c r="AM257">
        <f t="shared" si="205"/>
        <v>0.13937535293113701</v>
      </c>
      <c r="AN257">
        <f t="shared" si="206"/>
        <v>0.5347873945347813</v>
      </c>
      <c r="AO257">
        <f t="shared" si="207"/>
        <v>7.22965244448045E-2</v>
      </c>
      <c r="AP257">
        <f t="shared" si="208"/>
        <v>0.14643066137110605</v>
      </c>
    </row>
    <row r="258" spans="1:42" x14ac:dyDescent="0.25">
      <c r="A258">
        <v>0.2278</v>
      </c>
      <c r="B258">
        <v>0.87284359655582699</v>
      </c>
      <c r="C258">
        <v>0.69861332402023235</v>
      </c>
      <c r="D258">
        <v>0.49938472134095208</v>
      </c>
      <c r="E258">
        <v>0.74224531726987619</v>
      </c>
      <c r="F258">
        <v>0.57129478021446345</v>
      </c>
      <c r="G258">
        <v>0.70741685568151969</v>
      </c>
      <c r="H258">
        <v>0.24713252600227761</v>
      </c>
      <c r="I258">
        <v>0.74183888608897985</v>
      </c>
      <c r="J258">
        <v>0.66461002063871666</v>
      </c>
      <c r="M258">
        <f t="shared" si="184"/>
        <v>0.9364217982779135</v>
      </c>
      <c r="N258">
        <f t="shared" si="185"/>
        <v>0.84930666201011618</v>
      </c>
      <c r="O258">
        <f t="shared" si="186"/>
        <v>0.74969236067047607</v>
      </c>
      <c r="P258">
        <f t="shared" si="187"/>
        <v>0.8711226586349381</v>
      </c>
      <c r="Q258">
        <f t="shared" si="188"/>
        <v>0.78564739010723172</v>
      </c>
      <c r="R258">
        <f t="shared" si="189"/>
        <v>0.85370842784075984</v>
      </c>
      <c r="S258">
        <f t="shared" si="190"/>
        <v>0.62356626300113882</v>
      </c>
      <c r="T258">
        <f t="shared" si="191"/>
        <v>0.87091944304448998</v>
      </c>
      <c r="U258">
        <f t="shared" si="192"/>
        <v>0.83230501031935833</v>
      </c>
      <c r="X258">
        <f t="shared" si="193"/>
        <v>8.7115136267797322E-2</v>
      </c>
      <c r="Y258">
        <f t="shared" si="194"/>
        <v>0.18672943760743743</v>
      </c>
      <c r="Z258">
        <f t="shared" si="195"/>
        <v>6.5299139642975401E-2</v>
      </c>
      <c r="AA258">
        <f t="shared" si="196"/>
        <v>0.15077440817068177</v>
      </c>
      <c r="AB258">
        <f t="shared" si="197"/>
        <v>8.2713370437153655E-2</v>
      </c>
      <c r="AC258">
        <f t="shared" si="198"/>
        <v>0.31285553527677468</v>
      </c>
      <c r="AD258">
        <f t="shared" si="199"/>
        <v>6.5502355233423515E-2</v>
      </c>
      <c r="AE258">
        <f t="shared" si="200"/>
        <v>0.10411678795855517</v>
      </c>
      <c r="AI258">
        <f t="shared" si="201"/>
        <v>0.17423027253559464</v>
      </c>
      <c r="AJ258">
        <f t="shared" si="202"/>
        <v>0.37345887521487492</v>
      </c>
      <c r="AK258">
        <f t="shared" si="203"/>
        <v>0.1305982792859508</v>
      </c>
      <c r="AL258">
        <f t="shared" si="204"/>
        <v>0.30154881634136355</v>
      </c>
      <c r="AM258">
        <f t="shared" si="205"/>
        <v>0.16542674087430731</v>
      </c>
      <c r="AN258">
        <f t="shared" si="206"/>
        <v>0.62571107055354935</v>
      </c>
      <c r="AO258">
        <f t="shared" si="207"/>
        <v>0.13100471046684714</v>
      </c>
      <c r="AP258">
        <f t="shared" si="208"/>
        <v>0.20823357591711034</v>
      </c>
    </row>
    <row r="259" spans="1:42" x14ac:dyDescent="0.25">
      <c r="A259">
        <v>0.25459999999999999</v>
      </c>
      <c r="B259">
        <v>0.86486505277371661</v>
      </c>
      <c r="C259">
        <v>0.65180929927991405</v>
      </c>
      <c r="D259">
        <v>0.44293538279412642</v>
      </c>
      <c r="E259">
        <v>0.74222137223991924</v>
      </c>
      <c r="F259">
        <v>0.52081003149433636</v>
      </c>
      <c r="G259">
        <v>0.73034453195700011</v>
      </c>
      <c r="H259">
        <v>0.20050835987584209</v>
      </c>
      <c r="I259">
        <v>0.70299245646238584</v>
      </c>
      <c r="J259">
        <v>0.61870012390165907</v>
      </c>
      <c r="K259">
        <f>MIN(C254:J263)</f>
        <v>0.1600013298589554</v>
      </c>
      <c r="M259">
        <f t="shared" ref="M259:M309" si="257">(B259+1)/2</f>
        <v>0.93243252638685825</v>
      </c>
      <c r="N259">
        <f t="shared" ref="N259:N309" si="258">(C259+1)/2</f>
        <v>0.82590464963995702</v>
      </c>
      <c r="O259">
        <f t="shared" ref="O259:O309" si="259">(D259+1)/2</f>
        <v>0.72146769139706324</v>
      </c>
      <c r="P259">
        <f t="shared" ref="P259:P309" si="260">(E259+1)/2</f>
        <v>0.87111068611995957</v>
      </c>
      <c r="Q259">
        <f t="shared" ref="Q259:Q309" si="261">(F259+1)/2</f>
        <v>0.76040501574716823</v>
      </c>
      <c r="R259">
        <f t="shared" ref="R259:R309" si="262">(G259+1)/2</f>
        <v>0.86517226597850005</v>
      </c>
      <c r="S259">
        <f t="shared" ref="S259:S309" si="263">(H259+1)/2</f>
        <v>0.60025417993792107</v>
      </c>
      <c r="T259">
        <f t="shared" ref="T259:T309" si="264">(I259+1)/2</f>
        <v>0.85149622823119286</v>
      </c>
      <c r="U259">
        <f t="shared" ref="U259:U309" si="265">(J259+1)/2</f>
        <v>0.80935006195082959</v>
      </c>
      <c r="X259">
        <f t="shared" si="193"/>
        <v>0.10652787674690123</v>
      </c>
      <c r="Y259">
        <f t="shared" si="194"/>
        <v>0.21096483498979501</v>
      </c>
      <c r="Z259">
        <f t="shared" si="195"/>
        <v>6.1321840266898686E-2</v>
      </c>
      <c r="AA259">
        <f t="shared" si="196"/>
        <v>0.17202751063969002</v>
      </c>
      <c r="AB259">
        <f t="shared" si="197"/>
        <v>6.7260260408358197E-2</v>
      </c>
      <c r="AC259">
        <f t="shared" si="198"/>
        <v>0.33217834644893718</v>
      </c>
      <c r="AD259">
        <f t="shared" si="199"/>
        <v>8.0936298155665387E-2</v>
      </c>
      <c r="AE259">
        <f t="shared" si="200"/>
        <v>0.12308246443602866</v>
      </c>
      <c r="AI259">
        <f t="shared" si="201"/>
        <v>0.21305575349380257</v>
      </c>
      <c r="AJ259">
        <f t="shared" si="202"/>
        <v>0.42192966997959019</v>
      </c>
      <c r="AK259">
        <f t="shared" si="203"/>
        <v>0.12264368053379737</v>
      </c>
      <c r="AL259">
        <f t="shared" si="204"/>
        <v>0.34405502127938026</v>
      </c>
      <c r="AM259">
        <f t="shared" si="205"/>
        <v>0.1345205208167165</v>
      </c>
      <c r="AN259">
        <f t="shared" si="206"/>
        <v>0.66435669289787458</v>
      </c>
      <c r="AO259">
        <f t="shared" si="207"/>
        <v>0.16187259631133077</v>
      </c>
      <c r="AP259">
        <f t="shared" si="208"/>
        <v>0.24616492887205754</v>
      </c>
    </row>
    <row r="260" spans="1:42" x14ac:dyDescent="0.25">
      <c r="A260">
        <v>0.28139999999999998</v>
      </c>
      <c r="B260">
        <v>0.84465913342452392</v>
      </c>
      <c r="C260">
        <v>0.67976026878149554</v>
      </c>
      <c r="D260">
        <v>0.45482128504623859</v>
      </c>
      <c r="E260">
        <v>0.79043204125530064</v>
      </c>
      <c r="F260">
        <v>0.51635665928687968</v>
      </c>
      <c r="G260">
        <v>0.77232258694698996</v>
      </c>
      <c r="H260">
        <v>0.19969299765238949</v>
      </c>
      <c r="I260">
        <v>0.72735860072062408</v>
      </c>
      <c r="J260">
        <v>0.64491207849354093</v>
      </c>
      <c r="K260">
        <f>MAX(C254:J263)</f>
        <v>0.79163192404045146</v>
      </c>
      <c r="M260">
        <f t="shared" si="257"/>
        <v>0.92232956671226196</v>
      </c>
      <c r="N260">
        <f t="shared" si="258"/>
        <v>0.83988013439074782</v>
      </c>
      <c r="O260">
        <f t="shared" si="259"/>
        <v>0.72741064252311927</v>
      </c>
      <c r="P260">
        <f t="shared" si="260"/>
        <v>0.89521602062765027</v>
      </c>
      <c r="Q260">
        <f t="shared" si="261"/>
        <v>0.7581783296434399</v>
      </c>
      <c r="R260">
        <f t="shared" si="262"/>
        <v>0.88616129347349504</v>
      </c>
      <c r="S260">
        <f t="shared" si="263"/>
        <v>0.59984649882619479</v>
      </c>
      <c r="T260">
        <f t="shared" si="264"/>
        <v>0.86367930036031204</v>
      </c>
      <c r="U260">
        <f t="shared" si="265"/>
        <v>0.82245603924677047</v>
      </c>
      <c r="X260">
        <f t="shared" ref="X260:X318" si="266">M260-N260</f>
        <v>8.2449432321514138E-2</v>
      </c>
      <c r="Y260">
        <f t="shared" ref="Y260:Y318" si="267">M260-O260</f>
        <v>0.19491892418914269</v>
      </c>
      <c r="Z260">
        <f t="shared" ref="Z260:Z318" si="268">M260-P260</f>
        <v>2.7113546084611695E-2</v>
      </c>
      <c r="AA260">
        <f t="shared" ref="AA260:AA318" si="269">M260-Q260</f>
        <v>0.16415123706882206</v>
      </c>
      <c r="AB260">
        <f t="shared" ref="AB260:AB318" si="270">M260-R260</f>
        <v>3.6168273238766924E-2</v>
      </c>
      <c r="AC260">
        <f t="shared" ref="AC260:AC318" si="271">M260-S260</f>
        <v>0.32248306788606718</v>
      </c>
      <c r="AD260">
        <f t="shared" ref="AD260:AD318" si="272">M260-T260</f>
        <v>5.865026635194992E-2</v>
      </c>
      <c r="AE260">
        <f t="shared" ref="AE260:AE318" si="273">M260-U260</f>
        <v>9.9873527465491496E-2</v>
      </c>
      <c r="AI260">
        <f t="shared" ref="AI260:AI323" si="274">B260-C260</f>
        <v>0.16489886464302839</v>
      </c>
      <c r="AJ260">
        <f t="shared" ref="AJ260:AJ323" si="275">B260-D260</f>
        <v>0.38983784837828533</v>
      </c>
      <c r="AK260">
        <f t="shared" ref="AK260:AK323" si="276">B260-E260</f>
        <v>5.4227092169223279E-2</v>
      </c>
      <c r="AL260">
        <f t="shared" ref="AL260:AL323" si="277">B260-F260</f>
        <v>0.32830247413764424</v>
      </c>
      <c r="AM260">
        <f t="shared" ref="AM260:AM323" si="278">B260-G260</f>
        <v>7.2336546477533958E-2</v>
      </c>
      <c r="AN260">
        <f t="shared" ref="AN260:AN323" si="279">B260-H260</f>
        <v>0.64496613577213446</v>
      </c>
      <c r="AO260">
        <f t="shared" ref="AO260:AO323" si="280">B260-I260</f>
        <v>0.11730053270389984</v>
      </c>
      <c r="AP260">
        <f t="shared" ref="AP260:AP323" si="281">B260-J260</f>
        <v>0.19974705493098299</v>
      </c>
    </row>
    <row r="261" spans="1:42" x14ac:dyDescent="0.25">
      <c r="A261">
        <v>0.30819999999999997</v>
      </c>
      <c r="B261">
        <v>0.82402020476793303</v>
      </c>
      <c r="C261">
        <v>0.66343896446941553</v>
      </c>
      <c r="D261">
        <v>0.44042132799280342</v>
      </c>
      <c r="E261">
        <v>0.78292724108700129</v>
      </c>
      <c r="F261">
        <v>0.50581876828102501</v>
      </c>
      <c r="G261">
        <v>0.77144094015823772</v>
      </c>
      <c r="H261">
        <v>0.1825008852717202</v>
      </c>
      <c r="I261">
        <v>0.72074624980498214</v>
      </c>
      <c r="J261">
        <v>0.62770854151594302</v>
      </c>
      <c r="M261">
        <f t="shared" si="257"/>
        <v>0.91201010238396651</v>
      </c>
      <c r="N261">
        <f t="shared" si="258"/>
        <v>0.83171948223470782</v>
      </c>
      <c r="O261">
        <f t="shared" si="259"/>
        <v>0.72021066399640166</v>
      </c>
      <c r="P261">
        <f t="shared" si="260"/>
        <v>0.8914636205435007</v>
      </c>
      <c r="Q261">
        <f t="shared" si="261"/>
        <v>0.75290938414051256</v>
      </c>
      <c r="R261">
        <f t="shared" si="262"/>
        <v>0.8857204700791188</v>
      </c>
      <c r="S261">
        <f t="shared" si="263"/>
        <v>0.59125044263586013</v>
      </c>
      <c r="T261">
        <f t="shared" si="264"/>
        <v>0.86037312490249107</v>
      </c>
      <c r="U261">
        <f t="shared" si="265"/>
        <v>0.81385427075797145</v>
      </c>
      <c r="X261">
        <f t="shared" si="266"/>
        <v>8.0290620149258696E-2</v>
      </c>
      <c r="Y261">
        <f t="shared" si="267"/>
        <v>0.19179943838756486</v>
      </c>
      <c r="Z261">
        <f t="shared" si="268"/>
        <v>2.0546481840465813E-2</v>
      </c>
      <c r="AA261">
        <f t="shared" si="269"/>
        <v>0.15910071824345395</v>
      </c>
      <c r="AB261">
        <f t="shared" si="270"/>
        <v>2.628963230484771E-2</v>
      </c>
      <c r="AC261">
        <f t="shared" si="271"/>
        <v>0.32075965974810638</v>
      </c>
      <c r="AD261">
        <f t="shared" si="272"/>
        <v>5.1636977481475443E-2</v>
      </c>
      <c r="AE261">
        <f t="shared" si="273"/>
        <v>9.815583162599506E-2</v>
      </c>
      <c r="AI261">
        <f t="shared" si="274"/>
        <v>0.1605812402985175</v>
      </c>
      <c r="AJ261">
        <f t="shared" si="275"/>
        <v>0.3835988767751296</v>
      </c>
      <c r="AK261">
        <f t="shared" si="276"/>
        <v>4.1092963680931738E-2</v>
      </c>
      <c r="AL261">
        <f t="shared" si="277"/>
        <v>0.31820143648690802</v>
      </c>
      <c r="AM261">
        <f t="shared" si="278"/>
        <v>5.2579264609695309E-2</v>
      </c>
      <c r="AN261">
        <f t="shared" si="279"/>
        <v>0.64151931949621277</v>
      </c>
      <c r="AO261">
        <f t="shared" si="280"/>
        <v>0.10327395496295089</v>
      </c>
      <c r="AP261">
        <f t="shared" si="281"/>
        <v>0.19631166325199001</v>
      </c>
    </row>
    <row r="262" spans="1:42" x14ac:dyDescent="0.25">
      <c r="A262">
        <v>0.33510000000000001</v>
      </c>
      <c r="B262">
        <v>0.80790342232341228</v>
      </c>
      <c r="C262">
        <v>0.64594396828046519</v>
      </c>
      <c r="D262">
        <v>0.42189960223579742</v>
      </c>
      <c r="E262">
        <v>0.78703471235135358</v>
      </c>
      <c r="F262">
        <v>0.48712133914700562</v>
      </c>
      <c r="G262">
        <v>0.78039216119911992</v>
      </c>
      <c r="H262">
        <v>0.17432651779398581</v>
      </c>
      <c r="I262">
        <v>0.70281575884326275</v>
      </c>
      <c r="J262">
        <v>0.60845319511294071</v>
      </c>
      <c r="M262">
        <f t="shared" si="257"/>
        <v>0.90395171116170614</v>
      </c>
      <c r="N262">
        <f t="shared" si="258"/>
        <v>0.82297198414023254</v>
      </c>
      <c r="O262">
        <f t="shared" si="259"/>
        <v>0.71094980111789874</v>
      </c>
      <c r="P262">
        <f t="shared" si="260"/>
        <v>0.89351735617567685</v>
      </c>
      <c r="Q262">
        <f t="shared" si="261"/>
        <v>0.74356066957350286</v>
      </c>
      <c r="R262">
        <f t="shared" si="262"/>
        <v>0.8901960805995599</v>
      </c>
      <c r="S262">
        <f t="shared" si="263"/>
        <v>0.58716325889699295</v>
      </c>
      <c r="T262">
        <f t="shared" si="264"/>
        <v>0.85140787942163132</v>
      </c>
      <c r="U262">
        <f t="shared" si="265"/>
        <v>0.80422659755647041</v>
      </c>
      <c r="X262">
        <f t="shared" si="266"/>
        <v>8.0979727021473602E-2</v>
      </c>
      <c r="Y262">
        <f t="shared" si="267"/>
        <v>0.1930019100438074</v>
      </c>
      <c r="Z262">
        <f t="shared" si="268"/>
        <v>1.0434354986029293E-2</v>
      </c>
      <c r="AA262">
        <f t="shared" si="269"/>
        <v>0.16039104158820328</v>
      </c>
      <c r="AB262">
        <f t="shared" si="270"/>
        <v>1.3755630562146237E-2</v>
      </c>
      <c r="AC262">
        <f t="shared" si="271"/>
        <v>0.31678845226471319</v>
      </c>
      <c r="AD262">
        <f t="shared" si="272"/>
        <v>5.254383174007482E-2</v>
      </c>
      <c r="AE262">
        <f t="shared" si="273"/>
        <v>9.9725113605235727E-2</v>
      </c>
      <c r="AI262">
        <f t="shared" si="274"/>
        <v>0.16195945404294709</v>
      </c>
      <c r="AJ262">
        <f t="shared" si="275"/>
        <v>0.38600382008761486</v>
      </c>
      <c r="AK262">
        <f t="shared" si="276"/>
        <v>2.0868709972058697E-2</v>
      </c>
      <c r="AL262">
        <f t="shared" si="277"/>
        <v>0.32078208317640666</v>
      </c>
      <c r="AM262">
        <f t="shared" si="278"/>
        <v>2.7511261124292363E-2</v>
      </c>
      <c r="AN262">
        <f t="shared" si="279"/>
        <v>0.6335769045294265</v>
      </c>
      <c r="AO262">
        <f t="shared" si="280"/>
        <v>0.10508766348014953</v>
      </c>
      <c r="AP262">
        <f t="shared" si="281"/>
        <v>0.19945022721047156</v>
      </c>
    </row>
    <row r="263" spans="1:42" x14ac:dyDescent="0.25">
      <c r="A263">
        <v>0.3619</v>
      </c>
      <c r="B263">
        <v>0.80965973411107184</v>
      </c>
      <c r="C263">
        <v>0.64484129848142036</v>
      </c>
      <c r="D263">
        <v>0.4115762378539814</v>
      </c>
      <c r="E263">
        <v>0.78593118639460746</v>
      </c>
      <c r="F263">
        <v>0.4868511664686101</v>
      </c>
      <c r="G263">
        <v>0.79163192404045146</v>
      </c>
      <c r="H263">
        <v>0.1600013298589554</v>
      </c>
      <c r="I263">
        <v>0.70435847139011221</v>
      </c>
      <c r="J263">
        <v>0.61352547618854703</v>
      </c>
      <c r="M263">
        <f t="shared" si="257"/>
        <v>0.90482986705553592</v>
      </c>
      <c r="N263">
        <f t="shared" si="258"/>
        <v>0.82242064924071023</v>
      </c>
      <c r="O263">
        <f t="shared" si="259"/>
        <v>0.70578811892699067</v>
      </c>
      <c r="P263">
        <f t="shared" si="260"/>
        <v>0.89296559319730373</v>
      </c>
      <c r="Q263">
        <f t="shared" si="261"/>
        <v>0.74342558323430508</v>
      </c>
      <c r="R263">
        <f t="shared" si="262"/>
        <v>0.89581596202022573</v>
      </c>
      <c r="S263">
        <f t="shared" si="263"/>
        <v>0.58000066492947766</v>
      </c>
      <c r="T263">
        <f t="shared" si="264"/>
        <v>0.85217923569505616</v>
      </c>
      <c r="U263">
        <f t="shared" si="265"/>
        <v>0.80676273809427346</v>
      </c>
      <c r="X263">
        <f t="shared" si="266"/>
        <v>8.2409217814825686E-2</v>
      </c>
      <c r="Y263">
        <f t="shared" si="267"/>
        <v>0.19904174812854525</v>
      </c>
      <c r="Z263">
        <f t="shared" si="268"/>
        <v>1.1864273858232188E-2</v>
      </c>
      <c r="AA263">
        <f t="shared" si="269"/>
        <v>0.16140428382123084</v>
      </c>
      <c r="AB263">
        <f t="shared" si="270"/>
        <v>9.0139050353101879E-3</v>
      </c>
      <c r="AC263">
        <f t="shared" si="271"/>
        <v>0.32482920212605826</v>
      </c>
      <c r="AD263">
        <f t="shared" si="272"/>
        <v>5.265063136047976E-2</v>
      </c>
      <c r="AE263">
        <f t="shared" si="273"/>
        <v>9.8067128961262462E-2</v>
      </c>
      <c r="AF263">
        <f>COUNT(X254:X263)</f>
        <v>10</v>
      </c>
      <c r="AI263">
        <f t="shared" si="274"/>
        <v>0.16481843562965148</v>
      </c>
      <c r="AJ263">
        <f t="shared" si="275"/>
        <v>0.39808349625709044</v>
      </c>
      <c r="AK263">
        <f t="shared" si="276"/>
        <v>2.3728547716464377E-2</v>
      </c>
      <c r="AL263">
        <f t="shared" si="277"/>
        <v>0.32280856764246174</v>
      </c>
      <c r="AM263">
        <f t="shared" si="278"/>
        <v>1.8027810070620376E-2</v>
      </c>
      <c r="AN263">
        <f t="shared" si="279"/>
        <v>0.64965840425211641</v>
      </c>
      <c r="AO263">
        <f t="shared" si="280"/>
        <v>0.10530126272095963</v>
      </c>
      <c r="AP263">
        <f t="shared" si="281"/>
        <v>0.19613425792252481</v>
      </c>
    </row>
    <row r="264" spans="1:42" s="10" customFormat="1" x14ac:dyDescent="0.25">
      <c r="A264" s="10" t="s">
        <v>73</v>
      </c>
      <c r="M264" s="10">
        <f>AVERAGE(M254:M263)</f>
        <v>0.90154578194483759</v>
      </c>
      <c r="N264" s="10">
        <f t="shared" ref="N264" si="282">AVERAGE(N254:N263)</f>
        <v>0.83899813360342479</v>
      </c>
      <c r="O264" s="10">
        <f t="shared" ref="O264" si="283">AVERAGE(O254:O263)</f>
        <v>0.74558742826216107</v>
      </c>
      <c r="P264" s="10">
        <f t="shared" ref="P264" si="284">AVERAGE(P254:P263)</f>
        <v>0.85870158591540791</v>
      </c>
      <c r="Q264" s="10">
        <f t="shared" ref="Q264" si="285">AVERAGE(Q254:Q263)</f>
        <v>0.78207234176845331</v>
      </c>
      <c r="R264" s="10">
        <f t="shared" ref="R264" si="286">AVERAGE(R254:R263)</f>
        <v>0.8501002794775262</v>
      </c>
      <c r="S264" s="10">
        <f t="shared" ref="S264" si="287">AVERAGE(S254:S263)</f>
        <v>0.62753984801390339</v>
      </c>
      <c r="T264" s="10">
        <f t="shared" ref="T264" si="288">AVERAGE(T254:T263)</f>
        <v>0.8616999048039643</v>
      </c>
      <c r="U264" s="10">
        <f t="shared" ref="U264" si="289">AVERAGE(U254:U263)</f>
        <v>0.82363036287964009</v>
      </c>
      <c r="X264" s="10">
        <f>((M264-N264)/N264)*100</f>
        <v>7.455040224318024</v>
      </c>
      <c r="Y264" s="10">
        <f>((M264-O264)/O264)*100</f>
        <v>20.917513865032465</v>
      </c>
      <c r="Z264" s="10">
        <f>((M264-P264)/P264)*100</f>
        <v>4.9894161990811012</v>
      </c>
      <c r="AA264" s="10">
        <f>((M264-Q264)/Q264)*100</f>
        <v>15.276520316039582</v>
      </c>
      <c r="AB264" s="10">
        <f>((M264-R264)/R264)*100</f>
        <v>6.05169810071465</v>
      </c>
      <c r="AC264" s="10">
        <f>((M264-S264)/S264)*100</f>
        <v>43.663511536061613</v>
      </c>
      <c r="AD264" s="10">
        <f>((M264-T264)/T264)*100</f>
        <v>4.6241013743570241</v>
      </c>
      <c r="AE264" s="10">
        <f>((M264-U264)/U264)*100</f>
        <v>9.4599983896639745</v>
      </c>
      <c r="AI264" s="10">
        <f t="shared" si="274"/>
        <v>0</v>
      </c>
      <c r="AJ264" s="10">
        <f t="shared" si="275"/>
        <v>0</v>
      </c>
      <c r="AK264" s="10">
        <f t="shared" si="276"/>
        <v>0</v>
      </c>
      <c r="AL264" s="10">
        <f t="shared" si="277"/>
        <v>0</v>
      </c>
      <c r="AM264" s="10">
        <f t="shared" si="278"/>
        <v>0</v>
      </c>
      <c r="AN264" s="10">
        <f t="shared" si="279"/>
        <v>0</v>
      </c>
      <c r="AO264" s="10">
        <f t="shared" si="280"/>
        <v>0</v>
      </c>
      <c r="AP264" s="10">
        <f t="shared" si="281"/>
        <v>0</v>
      </c>
    </row>
    <row r="265" spans="1:42" x14ac:dyDescent="0.25">
      <c r="A265">
        <v>6.93E-2</v>
      </c>
      <c r="B265">
        <v>0.67499457152617459</v>
      </c>
      <c r="C265">
        <v>0.64209611797652844</v>
      </c>
      <c r="D265">
        <v>0.53591181730190063</v>
      </c>
      <c r="E265">
        <v>0.51541993632211947</v>
      </c>
      <c r="F265">
        <v>0.60804088233822673</v>
      </c>
      <c r="G265">
        <v>0.50762049750677529</v>
      </c>
      <c r="H265">
        <v>0.35313809223548948</v>
      </c>
      <c r="I265">
        <v>0.65141247860327745</v>
      </c>
      <c r="J265">
        <v>0.61683806978066935</v>
      </c>
      <c r="M265">
        <f t="shared" si="257"/>
        <v>0.83749728576308735</v>
      </c>
      <c r="N265">
        <f t="shared" si="258"/>
        <v>0.82104805898826427</v>
      </c>
      <c r="O265">
        <f t="shared" si="259"/>
        <v>0.76795590865095031</v>
      </c>
      <c r="P265">
        <f t="shared" si="260"/>
        <v>0.75770996816105973</v>
      </c>
      <c r="Q265">
        <f t="shared" si="261"/>
        <v>0.80402044116911342</v>
      </c>
      <c r="R265">
        <f t="shared" si="262"/>
        <v>0.75381024875338765</v>
      </c>
      <c r="S265">
        <f t="shared" si="263"/>
        <v>0.67656904611774471</v>
      </c>
      <c r="T265">
        <f t="shared" si="264"/>
        <v>0.82570623930163878</v>
      </c>
      <c r="U265">
        <f t="shared" si="265"/>
        <v>0.80841903489033462</v>
      </c>
      <c r="X265">
        <f t="shared" si="266"/>
        <v>1.6449226774823078E-2</v>
      </c>
      <c r="Y265">
        <f t="shared" si="267"/>
        <v>6.9541377112137037E-2</v>
      </c>
      <c r="Z265">
        <f t="shared" si="268"/>
        <v>7.9787317602027619E-2</v>
      </c>
      <c r="AA265">
        <f t="shared" si="269"/>
        <v>3.3476844593973931E-2</v>
      </c>
      <c r="AB265">
        <f t="shared" si="270"/>
        <v>8.3687037009699705E-2</v>
      </c>
      <c r="AC265">
        <f t="shared" si="271"/>
        <v>0.16092823964534264</v>
      </c>
      <c r="AD265">
        <f t="shared" si="272"/>
        <v>1.1791046461448573E-2</v>
      </c>
      <c r="AE265">
        <f t="shared" si="273"/>
        <v>2.9078250872752731E-2</v>
      </c>
      <c r="AI265">
        <f t="shared" si="274"/>
        <v>3.2898453549646156E-2</v>
      </c>
      <c r="AJ265">
        <f t="shared" si="275"/>
        <v>0.13908275422427396</v>
      </c>
      <c r="AK265">
        <f t="shared" si="276"/>
        <v>0.15957463520405513</v>
      </c>
      <c r="AL265">
        <f t="shared" si="277"/>
        <v>6.6953689187947862E-2</v>
      </c>
      <c r="AM265">
        <f t="shared" si="278"/>
        <v>0.1673740740193993</v>
      </c>
      <c r="AN265">
        <f t="shared" si="279"/>
        <v>0.32185647929068512</v>
      </c>
      <c r="AO265">
        <f t="shared" si="280"/>
        <v>2.3582092922897147E-2</v>
      </c>
      <c r="AP265">
        <f t="shared" si="281"/>
        <v>5.815650174550524E-2</v>
      </c>
    </row>
    <row r="266" spans="1:42" x14ac:dyDescent="0.25">
      <c r="A266">
        <v>8.4699999999999998E-2</v>
      </c>
      <c r="B266">
        <v>0.72314521335243909</v>
      </c>
      <c r="C266">
        <v>0.66118503438673271</v>
      </c>
      <c r="D266">
        <v>0.50151530100152408</v>
      </c>
      <c r="E266">
        <v>0.57027974708549578</v>
      </c>
      <c r="F266">
        <v>0.57197052344299559</v>
      </c>
      <c r="G266">
        <v>0.5593712821922675</v>
      </c>
      <c r="H266">
        <v>0.30261689215728987</v>
      </c>
      <c r="I266">
        <v>0.67626817489031621</v>
      </c>
      <c r="J266">
        <v>0.61151518093053281</v>
      </c>
      <c r="M266">
        <f t="shared" si="257"/>
        <v>0.86157260667621949</v>
      </c>
      <c r="N266">
        <f t="shared" si="258"/>
        <v>0.83059251719336635</v>
      </c>
      <c r="O266">
        <f t="shared" si="259"/>
        <v>0.75075765050076204</v>
      </c>
      <c r="P266">
        <f t="shared" si="260"/>
        <v>0.78513987354274795</v>
      </c>
      <c r="Q266">
        <f t="shared" si="261"/>
        <v>0.78598526172149774</v>
      </c>
      <c r="R266">
        <f t="shared" si="262"/>
        <v>0.7796856410961337</v>
      </c>
      <c r="S266">
        <f t="shared" si="263"/>
        <v>0.65130844607864491</v>
      </c>
      <c r="T266">
        <f t="shared" si="264"/>
        <v>0.83813408744515816</v>
      </c>
      <c r="U266">
        <f t="shared" si="265"/>
        <v>0.8057575904652664</v>
      </c>
      <c r="X266">
        <f t="shared" si="266"/>
        <v>3.0980089482853135E-2</v>
      </c>
      <c r="Y266">
        <f t="shared" si="267"/>
        <v>0.11081495617545745</v>
      </c>
      <c r="Z266">
        <f t="shared" si="268"/>
        <v>7.6432733133471542E-2</v>
      </c>
      <c r="AA266">
        <f t="shared" si="269"/>
        <v>7.5587344954721747E-2</v>
      </c>
      <c r="AB266">
        <f t="shared" si="270"/>
        <v>8.1886965580085791E-2</v>
      </c>
      <c r="AC266">
        <f t="shared" si="271"/>
        <v>0.21026416059757458</v>
      </c>
      <c r="AD266">
        <f t="shared" si="272"/>
        <v>2.3438519231061328E-2</v>
      </c>
      <c r="AE266">
        <f t="shared" si="273"/>
        <v>5.5815016210953083E-2</v>
      </c>
      <c r="AI266">
        <f t="shared" si="274"/>
        <v>6.1960178965706381E-2</v>
      </c>
      <c r="AJ266">
        <f t="shared" si="275"/>
        <v>0.221629912350915</v>
      </c>
      <c r="AK266">
        <f t="shared" si="276"/>
        <v>0.15286546626694331</v>
      </c>
      <c r="AL266">
        <f t="shared" si="277"/>
        <v>0.15117468990944349</v>
      </c>
      <c r="AM266">
        <f t="shared" si="278"/>
        <v>0.16377393116017158</v>
      </c>
      <c r="AN266">
        <f t="shared" si="279"/>
        <v>0.42052832119514921</v>
      </c>
      <c r="AO266">
        <f t="shared" si="280"/>
        <v>4.6877038462122878E-2</v>
      </c>
      <c r="AP266">
        <f t="shared" si="281"/>
        <v>0.11163003242190628</v>
      </c>
    </row>
    <row r="267" spans="1:42" x14ac:dyDescent="0.25">
      <c r="A267">
        <v>0.10009999999999999</v>
      </c>
      <c r="B267">
        <v>0.74298638893813174</v>
      </c>
      <c r="C267">
        <v>0.66322469744477042</v>
      </c>
      <c r="D267">
        <v>0.47659545137683779</v>
      </c>
      <c r="E267">
        <v>0.60559762042417242</v>
      </c>
      <c r="F267">
        <v>0.52946435896956279</v>
      </c>
      <c r="G267">
        <v>0.59727177968531098</v>
      </c>
      <c r="H267">
        <v>0.25568902972201552</v>
      </c>
      <c r="I267">
        <v>0.66475390817773417</v>
      </c>
      <c r="J267">
        <v>0.59604843367034488</v>
      </c>
      <c r="M267">
        <f t="shared" si="257"/>
        <v>0.87149319446906581</v>
      </c>
      <c r="N267">
        <f t="shared" si="258"/>
        <v>0.83161234872238521</v>
      </c>
      <c r="O267">
        <f t="shared" si="259"/>
        <v>0.73829772568841889</v>
      </c>
      <c r="P267">
        <f t="shared" si="260"/>
        <v>0.80279881021208621</v>
      </c>
      <c r="Q267">
        <f t="shared" si="261"/>
        <v>0.76473217948478145</v>
      </c>
      <c r="R267">
        <f t="shared" si="262"/>
        <v>0.79863588984265554</v>
      </c>
      <c r="S267">
        <f t="shared" si="263"/>
        <v>0.62784451486100779</v>
      </c>
      <c r="T267">
        <f t="shared" si="264"/>
        <v>0.83237695408886703</v>
      </c>
      <c r="U267">
        <f t="shared" si="265"/>
        <v>0.79802421683517244</v>
      </c>
      <c r="X267">
        <f t="shared" si="266"/>
        <v>3.9880845746680604E-2</v>
      </c>
      <c r="Y267">
        <f t="shared" si="267"/>
        <v>0.13319546878064692</v>
      </c>
      <c r="Z267">
        <f t="shared" si="268"/>
        <v>6.8694384256979601E-2</v>
      </c>
      <c r="AA267">
        <f t="shared" si="269"/>
        <v>0.10676101498428436</v>
      </c>
      <c r="AB267">
        <f t="shared" si="270"/>
        <v>7.2857304626410269E-2</v>
      </c>
      <c r="AC267">
        <f t="shared" si="271"/>
        <v>0.24364867960805803</v>
      </c>
      <c r="AD267">
        <f t="shared" si="272"/>
        <v>3.9116240380198786E-2</v>
      </c>
      <c r="AE267">
        <f t="shared" si="273"/>
        <v>7.3468977633893373E-2</v>
      </c>
      <c r="AI267">
        <f t="shared" si="274"/>
        <v>7.976169149336132E-2</v>
      </c>
      <c r="AJ267">
        <f t="shared" si="275"/>
        <v>0.26639093756129395</v>
      </c>
      <c r="AK267">
        <f t="shared" si="276"/>
        <v>0.13738876851395931</v>
      </c>
      <c r="AL267">
        <f t="shared" si="277"/>
        <v>0.21352202996856895</v>
      </c>
      <c r="AM267">
        <f t="shared" si="278"/>
        <v>0.14571460925282076</v>
      </c>
      <c r="AN267">
        <f t="shared" si="279"/>
        <v>0.48729735921611622</v>
      </c>
      <c r="AO267">
        <f t="shared" si="280"/>
        <v>7.8232480760397571E-2</v>
      </c>
      <c r="AP267">
        <f t="shared" si="281"/>
        <v>0.14693795526778686</v>
      </c>
    </row>
    <row r="268" spans="1:42" x14ac:dyDescent="0.25">
      <c r="A268">
        <v>0.11550000000000001</v>
      </c>
      <c r="B268">
        <v>0.78072355914170932</v>
      </c>
      <c r="C268">
        <v>0.65647594499277295</v>
      </c>
      <c r="D268">
        <v>0.43253883152736788</v>
      </c>
      <c r="E268">
        <v>0.64466719277836626</v>
      </c>
      <c r="F268">
        <v>0.48282761986265288</v>
      </c>
      <c r="G268">
        <v>0.62911436382258745</v>
      </c>
      <c r="H268">
        <v>0.21064051055955951</v>
      </c>
      <c r="I268">
        <v>0.65316136546106374</v>
      </c>
      <c r="J268">
        <v>0.56951518013597202</v>
      </c>
      <c r="M268">
        <f t="shared" si="257"/>
        <v>0.89036177957085472</v>
      </c>
      <c r="N268">
        <f t="shared" si="258"/>
        <v>0.82823797249638642</v>
      </c>
      <c r="O268">
        <f t="shared" si="259"/>
        <v>0.71626941576368397</v>
      </c>
      <c r="P268">
        <f t="shared" si="260"/>
        <v>0.82233359638918313</v>
      </c>
      <c r="Q268">
        <f t="shared" si="261"/>
        <v>0.74141380993132644</v>
      </c>
      <c r="R268">
        <f t="shared" si="262"/>
        <v>0.81455718191129378</v>
      </c>
      <c r="S268">
        <f t="shared" si="263"/>
        <v>0.60532025527977973</v>
      </c>
      <c r="T268">
        <f t="shared" si="264"/>
        <v>0.82658068273053187</v>
      </c>
      <c r="U268">
        <f t="shared" si="265"/>
        <v>0.78475759006798596</v>
      </c>
      <c r="X268">
        <f t="shared" si="266"/>
        <v>6.2123807074468296E-2</v>
      </c>
      <c r="Y268">
        <f t="shared" si="267"/>
        <v>0.17409236380717075</v>
      </c>
      <c r="Z268">
        <f t="shared" si="268"/>
        <v>6.8028183181671587E-2</v>
      </c>
      <c r="AA268">
        <f t="shared" si="269"/>
        <v>0.14894796963952828</v>
      </c>
      <c r="AB268">
        <f t="shared" si="270"/>
        <v>7.5804597659560935E-2</v>
      </c>
      <c r="AC268">
        <f t="shared" si="271"/>
        <v>0.28504152429107499</v>
      </c>
      <c r="AD268">
        <f t="shared" si="272"/>
        <v>6.3781096840322848E-2</v>
      </c>
      <c r="AE268">
        <f t="shared" si="273"/>
        <v>0.10560418950286876</v>
      </c>
      <c r="AI268">
        <f t="shared" si="274"/>
        <v>0.12424761414893637</v>
      </c>
      <c r="AJ268">
        <f t="shared" si="275"/>
        <v>0.34818472761434144</v>
      </c>
      <c r="AK268">
        <f t="shared" si="276"/>
        <v>0.13605636636334306</v>
      </c>
      <c r="AL268">
        <f t="shared" si="277"/>
        <v>0.29789593927905644</v>
      </c>
      <c r="AM268">
        <f t="shared" si="278"/>
        <v>0.15160919531912187</v>
      </c>
      <c r="AN268">
        <f t="shared" si="279"/>
        <v>0.57008304858214975</v>
      </c>
      <c r="AO268">
        <f t="shared" si="280"/>
        <v>0.12756219368064559</v>
      </c>
      <c r="AP268">
        <f t="shared" si="281"/>
        <v>0.2112083790057373</v>
      </c>
    </row>
    <row r="269" spans="1:42" x14ac:dyDescent="0.25">
      <c r="A269">
        <v>0.13089999999999999</v>
      </c>
      <c r="B269">
        <v>0.81177443191399512</v>
      </c>
      <c r="C269">
        <v>0.65938959478364323</v>
      </c>
      <c r="D269">
        <v>0.41396547585197202</v>
      </c>
      <c r="E269">
        <v>0.67002256253607362</v>
      </c>
      <c r="F269">
        <v>0.46433767651149538</v>
      </c>
      <c r="G269">
        <v>0.66471901336280426</v>
      </c>
      <c r="H269">
        <v>0.18248774449486249</v>
      </c>
      <c r="I269">
        <v>0.65412061371288677</v>
      </c>
      <c r="J269">
        <v>0.56242625352013709</v>
      </c>
      <c r="M269">
        <f t="shared" si="257"/>
        <v>0.9058872159569975</v>
      </c>
      <c r="N269">
        <f t="shared" si="258"/>
        <v>0.82969479739182161</v>
      </c>
      <c r="O269">
        <f t="shared" si="259"/>
        <v>0.70698273792598598</v>
      </c>
      <c r="P269">
        <f t="shared" si="260"/>
        <v>0.83501128126803681</v>
      </c>
      <c r="Q269">
        <f t="shared" si="261"/>
        <v>0.73216883825574763</v>
      </c>
      <c r="R269">
        <f t="shared" si="262"/>
        <v>0.83235950668140213</v>
      </c>
      <c r="S269">
        <f t="shared" si="263"/>
        <v>0.59124387224743125</v>
      </c>
      <c r="T269">
        <f t="shared" si="264"/>
        <v>0.82706030685644338</v>
      </c>
      <c r="U269">
        <f t="shared" si="265"/>
        <v>0.7812131267600686</v>
      </c>
      <c r="X269">
        <f t="shared" si="266"/>
        <v>7.619241856517589E-2</v>
      </c>
      <c r="Y269">
        <f t="shared" si="267"/>
        <v>0.19890447803101152</v>
      </c>
      <c r="Z269">
        <f t="shared" si="268"/>
        <v>7.0875934688960696E-2</v>
      </c>
      <c r="AA269">
        <f t="shared" si="269"/>
        <v>0.17371837770124987</v>
      </c>
      <c r="AB269">
        <f t="shared" si="270"/>
        <v>7.3527709275595377E-2</v>
      </c>
      <c r="AC269">
        <f t="shared" si="271"/>
        <v>0.31464334370956626</v>
      </c>
      <c r="AD269">
        <f t="shared" si="272"/>
        <v>7.8826909100554121E-2</v>
      </c>
      <c r="AE269">
        <f t="shared" si="273"/>
        <v>0.12467408919692891</v>
      </c>
      <c r="AI269">
        <f t="shared" si="274"/>
        <v>0.15238483713035189</v>
      </c>
      <c r="AJ269">
        <f t="shared" si="275"/>
        <v>0.3978089560620231</v>
      </c>
      <c r="AK269">
        <f t="shared" si="276"/>
        <v>0.1417518693779215</v>
      </c>
      <c r="AL269">
        <f t="shared" si="277"/>
        <v>0.34743675540249974</v>
      </c>
      <c r="AM269">
        <f t="shared" si="278"/>
        <v>0.14705541855119086</v>
      </c>
      <c r="AN269">
        <f t="shared" si="279"/>
        <v>0.62928668741913263</v>
      </c>
      <c r="AO269">
        <f t="shared" si="280"/>
        <v>0.15765381820110835</v>
      </c>
      <c r="AP269">
        <f t="shared" si="281"/>
        <v>0.24934817839385803</v>
      </c>
    </row>
    <row r="270" spans="1:42" x14ac:dyDescent="0.25">
      <c r="A270">
        <v>0.14630000000000001</v>
      </c>
      <c r="B270">
        <v>0.79775553880630246</v>
      </c>
      <c r="C270">
        <v>0.65571481176319357</v>
      </c>
      <c r="D270">
        <v>0.39971380030346471</v>
      </c>
      <c r="E270">
        <v>0.69190179805449081</v>
      </c>
      <c r="F270">
        <v>0.43943168896270329</v>
      </c>
      <c r="G270">
        <v>0.69116926513416799</v>
      </c>
      <c r="H270">
        <v>0.15986739311211479</v>
      </c>
      <c r="I270">
        <v>0.6346557937769991</v>
      </c>
      <c r="J270">
        <v>0.5515840931783077</v>
      </c>
      <c r="M270">
        <f t="shared" si="257"/>
        <v>0.89887776940315123</v>
      </c>
      <c r="N270">
        <f t="shared" si="258"/>
        <v>0.82785740588159684</v>
      </c>
      <c r="O270">
        <f t="shared" si="259"/>
        <v>0.6998569001517323</v>
      </c>
      <c r="P270">
        <f t="shared" si="260"/>
        <v>0.84595089902724541</v>
      </c>
      <c r="Q270">
        <f t="shared" si="261"/>
        <v>0.71971584448135162</v>
      </c>
      <c r="R270">
        <f t="shared" si="262"/>
        <v>0.84558463256708394</v>
      </c>
      <c r="S270">
        <f t="shared" si="263"/>
        <v>0.57993369655605742</v>
      </c>
      <c r="T270">
        <f t="shared" si="264"/>
        <v>0.81732789688849961</v>
      </c>
      <c r="U270">
        <f t="shared" si="265"/>
        <v>0.77579204658915391</v>
      </c>
      <c r="X270">
        <f t="shared" si="266"/>
        <v>7.1020363521554386E-2</v>
      </c>
      <c r="Y270">
        <f t="shared" si="267"/>
        <v>0.19902086925141893</v>
      </c>
      <c r="Z270">
        <f t="shared" si="268"/>
        <v>5.2926870375905821E-2</v>
      </c>
      <c r="AA270">
        <f t="shared" si="269"/>
        <v>0.17916192492179961</v>
      </c>
      <c r="AB270">
        <f t="shared" si="270"/>
        <v>5.329313683606729E-2</v>
      </c>
      <c r="AC270">
        <f t="shared" si="271"/>
        <v>0.31894407284709381</v>
      </c>
      <c r="AD270">
        <f t="shared" si="272"/>
        <v>8.1549872514651622E-2</v>
      </c>
      <c r="AE270">
        <f t="shared" si="273"/>
        <v>0.12308572281399732</v>
      </c>
      <c r="AI270">
        <f t="shared" si="274"/>
        <v>0.14204072704310888</v>
      </c>
      <c r="AJ270">
        <f t="shared" si="275"/>
        <v>0.39804173850283775</v>
      </c>
      <c r="AK270">
        <f t="shared" si="276"/>
        <v>0.10585374075181164</v>
      </c>
      <c r="AL270">
        <f t="shared" si="277"/>
        <v>0.35832384984359916</v>
      </c>
      <c r="AM270">
        <f t="shared" si="278"/>
        <v>0.10658627367213447</v>
      </c>
      <c r="AN270">
        <f t="shared" si="279"/>
        <v>0.63788814569418761</v>
      </c>
      <c r="AO270">
        <f t="shared" si="280"/>
        <v>0.16309974502930336</v>
      </c>
      <c r="AP270">
        <f t="shared" si="281"/>
        <v>0.24617144562799476</v>
      </c>
    </row>
    <row r="271" spans="1:42" x14ac:dyDescent="0.25">
      <c r="A271">
        <v>0.16170000000000001</v>
      </c>
      <c r="B271">
        <v>0.75546939528105994</v>
      </c>
      <c r="C271">
        <v>0.65157494393905557</v>
      </c>
      <c r="D271">
        <v>0.37982747860946181</v>
      </c>
      <c r="E271">
        <v>0.71674240637007181</v>
      </c>
      <c r="F271">
        <v>0.41872792440662149</v>
      </c>
      <c r="G271">
        <v>0.72446977957330272</v>
      </c>
      <c r="H271">
        <v>0.13960218971158139</v>
      </c>
      <c r="I271">
        <v>0.63019060425253159</v>
      </c>
      <c r="J271">
        <v>0.54061384482810371</v>
      </c>
      <c r="M271">
        <f t="shared" si="257"/>
        <v>0.87773469764053003</v>
      </c>
      <c r="N271">
        <f t="shared" si="258"/>
        <v>0.82578747196952773</v>
      </c>
      <c r="O271">
        <f t="shared" si="259"/>
        <v>0.68991373930473088</v>
      </c>
      <c r="P271">
        <f t="shared" si="260"/>
        <v>0.8583712031850359</v>
      </c>
      <c r="Q271">
        <f t="shared" si="261"/>
        <v>0.70936396220331077</v>
      </c>
      <c r="R271">
        <f t="shared" si="262"/>
        <v>0.86223488978665142</v>
      </c>
      <c r="S271">
        <f t="shared" si="263"/>
        <v>0.56980109485579067</v>
      </c>
      <c r="T271">
        <f t="shared" si="264"/>
        <v>0.8150953021262658</v>
      </c>
      <c r="U271">
        <f t="shared" si="265"/>
        <v>0.77030692241405185</v>
      </c>
      <c r="X271">
        <f t="shared" si="266"/>
        <v>5.1947225671002295E-2</v>
      </c>
      <c r="Y271">
        <f t="shared" si="267"/>
        <v>0.18782095833579915</v>
      </c>
      <c r="Z271">
        <f t="shared" si="268"/>
        <v>1.9363494455494124E-2</v>
      </c>
      <c r="AA271">
        <f t="shared" si="269"/>
        <v>0.16837073543721925</v>
      </c>
      <c r="AB271">
        <f t="shared" si="270"/>
        <v>1.5499807853878611E-2</v>
      </c>
      <c r="AC271">
        <f t="shared" si="271"/>
        <v>0.30793360278473936</v>
      </c>
      <c r="AD271">
        <f t="shared" si="272"/>
        <v>6.2639395514264229E-2</v>
      </c>
      <c r="AE271">
        <f t="shared" si="273"/>
        <v>0.10742777522647817</v>
      </c>
      <c r="AI271">
        <f t="shared" si="274"/>
        <v>0.10389445134200437</v>
      </c>
      <c r="AJ271">
        <f t="shared" si="275"/>
        <v>0.37564191667159813</v>
      </c>
      <c r="AK271">
        <f t="shared" si="276"/>
        <v>3.8726988910988136E-2</v>
      </c>
      <c r="AL271">
        <f t="shared" si="277"/>
        <v>0.33674147087443845</v>
      </c>
      <c r="AM271">
        <f t="shared" si="278"/>
        <v>3.0999615707757222E-2</v>
      </c>
      <c r="AN271">
        <f t="shared" si="279"/>
        <v>0.61586720556947849</v>
      </c>
      <c r="AO271">
        <f t="shared" si="280"/>
        <v>0.12527879102852835</v>
      </c>
      <c r="AP271">
        <f t="shared" si="281"/>
        <v>0.21485555045295623</v>
      </c>
    </row>
    <row r="272" spans="1:42" x14ac:dyDescent="0.25">
      <c r="A272">
        <v>0.17710000000000001</v>
      </c>
      <c r="B272">
        <v>0.73374902508018502</v>
      </c>
      <c r="C272">
        <v>0.65961579923683278</v>
      </c>
      <c r="D272">
        <v>0.37631431158376949</v>
      </c>
      <c r="E272">
        <v>0.73375273213097358</v>
      </c>
      <c r="F272">
        <v>0.40764786865578317</v>
      </c>
      <c r="G272">
        <v>0.74173937005044799</v>
      </c>
      <c r="H272">
        <v>0.12467994889752709</v>
      </c>
      <c r="I272">
        <v>0.62050311161529403</v>
      </c>
      <c r="J272">
        <v>0.54178382186122376</v>
      </c>
      <c r="M272">
        <f t="shared" si="257"/>
        <v>0.86687451254009251</v>
      </c>
      <c r="N272">
        <f t="shared" si="258"/>
        <v>0.82980789961841639</v>
      </c>
      <c r="O272">
        <f t="shared" si="259"/>
        <v>0.68815715579188474</v>
      </c>
      <c r="P272">
        <f t="shared" si="260"/>
        <v>0.86687636606548679</v>
      </c>
      <c r="Q272">
        <f t="shared" si="261"/>
        <v>0.70382393432789159</v>
      </c>
      <c r="R272">
        <f t="shared" si="262"/>
        <v>0.87086968502522399</v>
      </c>
      <c r="S272">
        <f t="shared" si="263"/>
        <v>0.5623399744487636</v>
      </c>
      <c r="T272">
        <f t="shared" si="264"/>
        <v>0.81025155580764707</v>
      </c>
      <c r="U272">
        <f t="shared" si="265"/>
        <v>0.77089191093061182</v>
      </c>
      <c r="X272">
        <f t="shared" si="266"/>
        <v>3.7066612921676123E-2</v>
      </c>
      <c r="Y272">
        <f t="shared" si="267"/>
        <v>0.17871735674820777</v>
      </c>
      <c r="Z272">
        <f t="shared" si="268"/>
        <v>-1.8535253942797425E-6</v>
      </c>
      <c r="AA272">
        <f t="shared" si="269"/>
        <v>0.16305057821220093</v>
      </c>
      <c r="AB272">
        <f t="shared" si="270"/>
        <v>-3.9951724851314818E-3</v>
      </c>
      <c r="AC272">
        <f t="shared" si="271"/>
        <v>0.30453453809132891</v>
      </c>
      <c r="AD272">
        <f t="shared" si="272"/>
        <v>5.662295673244544E-2</v>
      </c>
      <c r="AE272">
        <f t="shared" si="273"/>
        <v>9.5982601609480689E-2</v>
      </c>
      <c r="AI272">
        <f t="shared" si="274"/>
        <v>7.4133225843352246E-2</v>
      </c>
      <c r="AJ272">
        <f t="shared" si="275"/>
        <v>0.35743471349641553</v>
      </c>
      <c r="AK272">
        <f t="shared" si="276"/>
        <v>-3.707050788559485E-6</v>
      </c>
      <c r="AL272">
        <f t="shared" si="277"/>
        <v>0.32610115642440185</v>
      </c>
      <c r="AM272">
        <f t="shared" si="278"/>
        <v>-7.9903449702629636E-3</v>
      </c>
      <c r="AN272">
        <f t="shared" si="279"/>
        <v>0.60906907618265793</v>
      </c>
      <c r="AO272">
        <f t="shared" si="280"/>
        <v>0.11324591346489099</v>
      </c>
      <c r="AP272">
        <f t="shared" si="281"/>
        <v>0.19196520321896127</v>
      </c>
    </row>
    <row r="273" spans="1:42" x14ac:dyDescent="0.25">
      <c r="A273">
        <v>0.1925</v>
      </c>
      <c r="B273">
        <v>0.71866627413213768</v>
      </c>
      <c r="C273">
        <v>0.65740971814388549</v>
      </c>
      <c r="D273">
        <v>0.35789972804111342</v>
      </c>
      <c r="E273">
        <v>0.75585507344750502</v>
      </c>
      <c r="F273">
        <v>0.38875092774309578</v>
      </c>
      <c r="G273">
        <v>0.76359376813307467</v>
      </c>
      <c r="H273">
        <v>0.1031326678686791</v>
      </c>
      <c r="I273">
        <v>0.6197347420722642</v>
      </c>
      <c r="J273">
        <v>0.53177175520887565</v>
      </c>
      <c r="M273">
        <f t="shared" si="257"/>
        <v>0.85933313706606884</v>
      </c>
      <c r="N273">
        <f t="shared" si="258"/>
        <v>0.8287048590719428</v>
      </c>
      <c r="O273">
        <f t="shared" si="259"/>
        <v>0.67894986402055668</v>
      </c>
      <c r="P273">
        <f t="shared" si="260"/>
        <v>0.87792753672375246</v>
      </c>
      <c r="Q273">
        <f t="shared" si="261"/>
        <v>0.69437546387154792</v>
      </c>
      <c r="R273">
        <f t="shared" si="262"/>
        <v>0.88179688406653733</v>
      </c>
      <c r="S273">
        <f t="shared" si="263"/>
        <v>0.55156633393433951</v>
      </c>
      <c r="T273">
        <f t="shared" si="264"/>
        <v>0.80986737103613216</v>
      </c>
      <c r="U273">
        <f t="shared" si="265"/>
        <v>0.76588587760443783</v>
      </c>
      <c r="X273">
        <f t="shared" si="266"/>
        <v>3.0628277994126041E-2</v>
      </c>
      <c r="Y273">
        <f t="shared" si="267"/>
        <v>0.18038327304551216</v>
      </c>
      <c r="Z273">
        <f t="shared" si="268"/>
        <v>-1.8594399657683613E-2</v>
      </c>
      <c r="AA273">
        <f t="shared" si="269"/>
        <v>0.16495767319452093</v>
      </c>
      <c r="AB273">
        <f t="shared" si="270"/>
        <v>-2.2463747000468492E-2</v>
      </c>
      <c r="AC273">
        <f t="shared" si="271"/>
        <v>0.30776680313172933</v>
      </c>
      <c r="AD273">
        <f t="shared" si="272"/>
        <v>4.9465766029936686E-2</v>
      </c>
      <c r="AE273">
        <f t="shared" si="273"/>
        <v>9.3447259461631016E-2</v>
      </c>
      <c r="AI273">
        <f t="shared" si="274"/>
        <v>6.1256555988252193E-2</v>
      </c>
      <c r="AJ273">
        <f t="shared" si="275"/>
        <v>0.36076654609102426</v>
      </c>
      <c r="AK273">
        <f t="shared" si="276"/>
        <v>-3.7188799315367338E-2</v>
      </c>
      <c r="AL273">
        <f t="shared" si="277"/>
        <v>0.32991534638904191</v>
      </c>
      <c r="AM273">
        <f t="shared" si="278"/>
        <v>-4.4927494000936985E-2</v>
      </c>
      <c r="AN273">
        <f t="shared" si="279"/>
        <v>0.61553360626345854</v>
      </c>
      <c r="AO273">
        <f t="shared" si="280"/>
        <v>9.8931532059873484E-2</v>
      </c>
      <c r="AP273">
        <f t="shared" si="281"/>
        <v>0.18689451892326203</v>
      </c>
    </row>
    <row r="274" spans="1:42" x14ac:dyDescent="0.25">
      <c r="A274">
        <v>0.2079</v>
      </c>
      <c r="B274">
        <v>0.7166382065369119</v>
      </c>
      <c r="C274">
        <v>0.65916024246353133</v>
      </c>
      <c r="D274">
        <v>0.3613075373132878</v>
      </c>
      <c r="E274">
        <v>0.75637506670691501</v>
      </c>
      <c r="F274">
        <v>0.3942712045377495</v>
      </c>
      <c r="G274">
        <v>0.75951997296243379</v>
      </c>
      <c r="H274">
        <v>0.1052163500842298</v>
      </c>
      <c r="I274">
        <v>0.62390684067656421</v>
      </c>
      <c r="J274">
        <v>0.53718783251644819</v>
      </c>
      <c r="M274">
        <f t="shared" si="257"/>
        <v>0.85831910326845595</v>
      </c>
      <c r="N274">
        <f t="shared" si="258"/>
        <v>0.82958012123176572</v>
      </c>
      <c r="O274">
        <f t="shared" si="259"/>
        <v>0.68065376865664384</v>
      </c>
      <c r="P274">
        <f t="shared" si="260"/>
        <v>0.87818753335345745</v>
      </c>
      <c r="Q274">
        <f t="shared" si="261"/>
        <v>0.69713560226887472</v>
      </c>
      <c r="R274">
        <f t="shared" si="262"/>
        <v>0.87975998648121689</v>
      </c>
      <c r="S274">
        <f t="shared" si="263"/>
        <v>0.5526081750421149</v>
      </c>
      <c r="T274">
        <f t="shared" si="264"/>
        <v>0.81195342033828211</v>
      </c>
      <c r="U274">
        <f t="shared" si="265"/>
        <v>0.76859391625822404</v>
      </c>
      <c r="X274">
        <f t="shared" si="266"/>
        <v>2.873898203669023E-2</v>
      </c>
      <c r="Y274">
        <f t="shared" si="267"/>
        <v>0.17766533461181211</v>
      </c>
      <c r="Z274">
        <f t="shared" si="268"/>
        <v>-1.9868430085001498E-2</v>
      </c>
      <c r="AA274">
        <f t="shared" si="269"/>
        <v>0.16118350099958123</v>
      </c>
      <c r="AB274">
        <f t="shared" si="270"/>
        <v>-2.1440883212760942E-2</v>
      </c>
      <c r="AC274">
        <f t="shared" si="271"/>
        <v>0.30571092822634105</v>
      </c>
      <c r="AD274">
        <f t="shared" si="272"/>
        <v>4.6365682930173846E-2</v>
      </c>
      <c r="AE274">
        <f t="shared" si="273"/>
        <v>8.972518701023191E-2</v>
      </c>
      <c r="AF274">
        <f>COUNT(X265:X274)</f>
        <v>10</v>
      </c>
      <c r="AI274">
        <f t="shared" si="274"/>
        <v>5.7477964073380572E-2</v>
      </c>
      <c r="AJ274">
        <f t="shared" si="275"/>
        <v>0.35533066922362411</v>
      </c>
      <c r="AK274">
        <f t="shared" si="276"/>
        <v>-3.9736860170003108E-2</v>
      </c>
      <c r="AL274">
        <f t="shared" si="277"/>
        <v>0.32236700199916241</v>
      </c>
      <c r="AM274">
        <f t="shared" si="278"/>
        <v>-4.2881766425521883E-2</v>
      </c>
      <c r="AN274">
        <f t="shared" si="279"/>
        <v>0.6114218564526821</v>
      </c>
      <c r="AO274">
        <f t="shared" si="280"/>
        <v>9.2731365860347692E-2</v>
      </c>
      <c r="AP274">
        <f t="shared" si="281"/>
        <v>0.17945037402046371</v>
      </c>
    </row>
    <row r="275" spans="1:42" s="10" customFormat="1" x14ac:dyDescent="0.25">
      <c r="A275" s="10" t="s">
        <v>44</v>
      </c>
      <c r="M275" s="10">
        <f>AVERAGE(M265:M274)</f>
        <v>0.87279513023545241</v>
      </c>
      <c r="N275" s="10">
        <f t="shared" ref="N275" si="290">AVERAGE(N265:N274)</f>
        <v>0.82829234525654738</v>
      </c>
      <c r="O275" s="10">
        <f t="shared" ref="O275" si="291">AVERAGE(O265:O274)</f>
        <v>0.71177948664553503</v>
      </c>
      <c r="P275" s="10">
        <f t="shared" ref="P275" si="292">AVERAGE(P265:P274)</f>
        <v>0.83303070679280933</v>
      </c>
      <c r="Q275" s="10">
        <f t="shared" ref="Q275" si="293">AVERAGE(Q265:Q274)</f>
        <v>0.73527353377154436</v>
      </c>
      <c r="R275" s="10">
        <f t="shared" ref="R275" si="294">AVERAGE(R265:R274)</f>
        <v>0.83192945462115853</v>
      </c>
      <c r="S275" s="10">
        <f t="shared" ref="S275" si="295">AVERAGE(S265:S274)</f>
        <v>0.59685354094216747</v>
      </c>
      <c r="T275" s="10">
        <f t="shared" ref="T275" si="296">AVERAGE(T265:T274)</f>
        <v>0.82143538166194663</v>
      </c>
      <c r="U275" s="10">
        <f t="shared" ref="U275" si="297">AVERAGE(U265:U274)</f>
        <v>0.7829642232815307</v>
      </c>
      <c r="X275" s="10">
        <f>((M275-N275)/N275)*100</f>
        <v>5.3728354769620816</v>
      </c>
      <c r="Y275" s="10">
        <f>((M275-O275)/O275)*100</f>
        <v>22.6215628029335</v>
      </c>
      <c r="Z275" s="10">
        <f>((M275-P275)/P275)*100</f>
        <v>4.7734643055040769</v>
      </c>
      <c r="AA275" s="10">
        <f>((M275-Q275)/Q275)*100</f>
        <v>18.703460705092802</v>
      </c>
      <c r="AB275" s="10">
        <f>((M275-R275)/R275)*100</f>
        <v>4.9121563598085576</v>
      </c>
      <c r="AC275" s="10">
        <f>((M275-S275)/S275)*100</f>
        <v>46.232713783970411</v>
      </c>
      <c r="AD275" s="10">
        <f>((M275-T275)/T275)*100</f>
        <v>6.2524392934710917</v>
      </c>
      <c r="AE275" s="10">
        <f>((M275-U275)/U275)*100</f>
        <v>11.473181568555678</v>
      </c>
      <c r="AI275" s="10">
        <f t="shared" si="274"/>
        <v>0</v>
      </c>
      <c r="AJ275" s="10">
        <f t="shared" si="275"/>
        <v>0</v>
      </c>
      <c r="AK275" s="10">
        <f t="shared" si="276"/>
        <v>0</v>
      </c>
      <c r="AL275" s="10">
        <f t="shared" si="277"/>
        <v>0</v>
      </c>
      <c r="AM275" s="10">
        <f t="shared" si="278"/>
        <v>0</v>
      </c>
      <c r="AN275" s="10">
        <f t="shared" si="279"/>
        <v>0</v>
      </c>
      <c r="AO275" s="10">
        <f t="shared" si="280"/>
        <v>0</v>
      </c>
      <c r="AP275" s="10">
        <f t="shared" si="281"/>
        <v>0</v>
      </c>
    </row>
    <row r="276" spans="1:42" x14ac:dyDescent="0.25">
      <c r="A276">
        <v>8.6099999999999996E-2</v>
      </c>
      <c r="B276">
        <v>0.80827710623523918</v>
      </c>
      <c r="C276">
        <v>0.67321592208617664</v>
      </c>
      <c r="D276">
        <v>0.55797769354847626</v>
      </c>
      <c r="E276">
        <v>0.54565250266823051</v>
      </c>
      <c r="F276">
        <v>0.8137482531953093</v>
      </c>
      <c r="G276">
        <v>0.54974951110970982</v>
      </c>
      <c r="H276">
        <v>0.74290474474285106</v>
      </c>
      <c r="I276">
        <v>0.78854032191991197</v>
      </c>
      <c r="J276">
        <v>0.66896850301938682</v>
      </c>
      <c r="M276">
        <f t="shared" si="257"/>
        <v>0.90413855311761959</v>
      </c>
      <c r="N276">
        <f t="shared" si="258"/>
        <v>0.83660796104308832</v>
      </c>
      <c r="O276">
        <f t="shared" si="259"/>
        <v>0.77898884677423808</v>
      </c>
      <c r="P276">
        <f t="shared" si="260"/>
        <v>0.77282625133411531</v>
      </c>
      <c r="Q276">
        <f t="shared" si="261"/>
        <v>0.90687412659765465</v>
      </c>
      <c r="R276">
        <f t="shared" si="262"/>
        <v>0.77487475555485497</v>
      </c>
      <c r="S276">
        <f t="shared" si="263"/>
        <v>0.87145237237142559</v>
      </c>
      <c r="T276">
        <f t="shared" si="264"/>
        <v>0.89427016095995593</v>
      </c>
      <c r="U276">
        <f t="shared" si="265"/>
        <v>0.83448425150969341</v>
      </c>
      <c r="X276">
        <f t="shared" si="266"/>
        <v>6.753059207453127E-2</v>
      </c>
      <c r="Y276">
        <f t="shared" si="267"/>
        <v>0.12514970634338152</v>
      </c>
      <c r="Z276">
        <f t="shared" si="268"/>
        <v>0.13131230178350428</v>
      </c>
      <c r="AA276">
        <f t="shared" si="269"/>
        <v>-2.7355734800350584E-3</v>
      </c>
      <c r="AB276">
        <f t="shared" si="270"/>
        <v>0.12926379756276463</v>
      </c>
      <c r="AC276">
        <f t="shared" si="271"/>
        <v>3.2686180746194005E-2</v>
      </c>
      <c r="AD276">
        <f t="shared" si="272"/>
        <v>9.8683921576636635E-3</v>
      </c>
      <c r="AE276">
        <f t="shared" si="273"/>
        <v>6.9654301607926183E-2</v>
      </c>
      <c r="AI276">
        <f t="shared" si="274"/>
        <v>0.13506118414906254</v>
      </c>
      <c r="AJ276">
        <f t="shared" si="275"/>
        <v>0.25029941268676292</v>
      </c>
      <c r="AK276">
        <f t="shared" si="276"/>
        <v>0.26262460356700867</v>
      </c>
      <c r="AL276">
        <f t="shared" si="277"/>
        <v>-5.4711469600701168E-3</v>
      </c>
      <c r="AM276">
        <f t="shared" si="278"/>
        <v>0.25852759512552936</v>
      </c>
      <c r="AN276">
        <f t="shared" si="279"/>
        <v>6.537236149238812E-2</v>
      </c>
      <c r="AO276">
        <f t="shared" si="280"/>
        <v>1.9736784315327216E-2</v>
      </c>
      <c r="AP276">
        <f t="shared" si="281"/>
        <v>0.13930860321585237</v>
      </c>
    </row>
    <row r="277" spans="1:42" x14ac:dyDescent="0.25">
      <c r="A277">
        <v>0.1053</v>
      </c>
      <c r="B277">
        <v>0.8279906938246413</v>
      </c>
      <c r="C277">
        <v>0.65800004836232062</v>
      </c>
      <c r="D277">
        <v>0.56035714661566516</v>
      </c>
      <c r="E277">
        <v>0.55443408080792655</v>
      </c>
      <c r="F277">
        <v>0.8038779597030099</v>
      </c>
      <c r="G277">
        <v>0.58233990544596848</v>
      </c>
      <c r="H277">
        <v>0.71705241544895215</v>
      </c>
      <c r="I277">
        <v>0.7944855904900372</v>
      </c>
      <c r="J277">
        <v>0.66118391956407374</v>
      </c>
      <c r="M277">
        <f t="shared" si="257"/>
        <v>0.91399534691232065</v>
      </c>
      <c r="N277">
        <f t="shared" si="258"/>
        <v>0.82900002418116037</v>
      </c>
      <c r="O277">
        <f t="shared" si="259"/>
        <v>0.78017857330783258</v>
      </c>
      <c r="P277">
        <f t="shared" si="260"/>
        <v>0.77721704040396333</v>
      </c>
      <c r="Q277">
        <f t="shared" si="261"/>
        <v>0.90193897985150495</v>
      </c>
      <c r="R277">
        <f t="shared" si="262"/>
        <v>0.79116995272298429</v>
      </c>
      <c r="S277">
        <f t="shared" si="263"/>
        <v>0.85852620772447608</v>
      </c>
      <c r="T277">
        <f t="shared" si="264"/>
        <v>0.8972427952450186</v>
      </c>
      <c r="U277">
        <f t="shared" si="265"/>
        <v>0.83059195978203681</v>
      </c>
      <c r="X277">
        <f t="shared" si="266"/>
        <v>8.4995322731160283E-2</v>
      </c>
      <c r="Y277">
        <f t="shared" si="267"/>
        <v>0.13381677360448807</v>
      </c>
      <c r="Z277">
        <f t="shared" si="268"/>
        <v>0.13677830650835732</v>
      </c>
      <c r="AA277">
        <f t="shared" si="269"/>
        <v>1.2056367060815698E-2</v>
      </c>
      <c r="AB277">
        <f t="shared" si="270"/>
        <v>0.12282539418933636</v>
      </c>
      <c r="AC277">
        <f t="shared" si="271"/>
        <v>5.5469139187844574E-2</v>
      </c>
      <c r="AD277">
        <f t="shared" si="272"/>
        <v>1.6752551667302051E-2</v>
      </c>
      <c r="AE277">
        <f t="shared" si="273"/>
        <v>8.3403387130283835E-2</v>
      </c>
      <c r="AI277">
        <f t="shared" si="274"/>
        <v>0.16999064546232068</v>
      </c>
      <c r="AJ277">
        <f t="shared" si="275"/>
        <v>0.26763354720897614</v>
      </c>
      <c r="AK277">
        <f t="shared" si="276"/>
        <v>0.27355661301671474</v>
      </c>
      <c r="AL277">
        <f t="shared" si="277"/>
        <v>2.4112734121631396E-2</v>
      </c>
      <c r="AM277">
        <f t="shared" si="278"/>
        <v>0.24565078837867282</v>
      </c>
      <c r="AN277">
        <f t="shared" si="279"/>
        <v>0.11093827837568915</v>
      </c>
      <c r="AO277">
        <f t="shared" si="280"/>
        <v>3.3505103334604103E-2</v>
      </c>
      <c r="AP277">
        <f t="shared" si="281"/>
        <v>0.16680677426056756</v>
      </c>
    </row>
    <row r="278" spans="1:42" x14ac:dyDescent="0.25">
      <c r="A278">
        <v>0.1244</v>
      </c>
      <c r="B278">
        <v>0.84360968630938382</v>
      </c>
      <c r="C278">
        <v>0.67708611647159789</v>
      </c>
      <c r="D278">
        <v>0.56534390677287183</v>
      </c>
      <c r="E278">
        <v>0.60469871656316709</v>
      </c>
      <c r="F278">
        <v>0.79982818735121419</v>
      </c>
      <c r="G278">
        <v>0.59518138172894619</v>
      </c>
      <c r="H278">
        <v>0.69896745896993673</v>
      </c>
      <c r="I278">
        <v>0.8218162850919255</v>
      </c>
      <c r="J278">
        <v>0.67814571915778188</v>
      </c>
      <c r="M278">
        <f t="shared" si="257"/>
        <v>0.92180484315469191</v>
      </c>
      <c r="N278">
        <f t="shared" si="258"/>
        <v>0.83854305823579889</v>
      </c>
      <c r="O278">
        <f t="shared" si="259"/>
        <v>0.78267195338643591</v>
      </c>
      <c r="P278">
        <f t="shared" si="260"/>
        <v>0.80234935828158349</v>
      </c>
      <c r="Q278">
        <f t="shared" si="261"/>
        <v>0.89991409367560715</v>
      </c>
      <c r="R278">
        <f t="shared" si="262"/>
        <v>0.7975906908644731</v>
      </c>
      <c r="S278">
        <f t="shared" si="263"/>
        <v>0.84948372948496842</v>
      </c>
      <c r="T278">
        <f t="shared" si="264"/>
        <v>0.91090814254596275</v>
      </c>
      <c r="U278">
        <f t="shared" si="265"/>
        <v>0.83907285957889099</v>
      </c>
      <c r="X278">
        <f t="shared" si="266"/>
        <v>8.3261784918893023E-2</v>
      </c>
      <c r="Y278">
        <f t="shared" si="267"/>
        <v>0.139132889768256</v>
      </c>
      <c r="Z278">
        <f t="shared" si="268"/>
        <v>0.11945548487310842</v>
      </c>
      <c r="AA278">
        <f t="shared" si="269"/>
        <v>2.1890749479084759E-2</v>
      </c>
      <c r="AB278">
        <f t="shared" si="270"/>
        <v>0.12421415229021882</v>
      </c>
      <c r="AC278">
        <f t="shared" si="271"/>
        <v>7.2321113669723491E-2</v>
      </c>
      <c r="AD278">
        <f t="shared" si="272"/>
        <v>1.089670060872916E-2</v>
      </c>
      <c r="AE278">
        <f t="shared" si="273"/>
        <v>8.2731983575800916E-2</v>
      </c>
      <c r="AI278">
        <f t="shared" si="274"/>
        <v>0.16652356983778593</v>
      </c>
      <c r="AJ278">
        <f t="shared" si="275"/>
        <v>0.27826577953651199</v>
      </c>
      <c r="AK278">
        <f t="shared" si="276"/>
        <v>0.23891096974621673</v>
      </c>
      <c r="AL278">
        <f t="shared" si="277"/>
        <v>4.3781498958169629E-2</v>
      </c>
      <c r="AM278">
        <f t="shared" si="278"/>
        <v>0.24842830458043763</v>
      </c>
      <c r="AN278">
        <f t="shared" si="279"/>
        <v>0.14464222733944709</v>
      </c>
      <c r="AO278">
        <f t="shared" si="280"/>
        <v>2.1793401217458319E-2</v>
      </c>
      <c r="AP278">
        <f t="shared" si="281"/>
        <v>0.16546396715160194</v>
      </c>
    </row>
    <row r="279" spans="1:42" x14ac:dyDescent="0.25">
      <c r="A279">
        <v>0.14360000000000001</v>
      </c>
      <c r="B279">
        <v>0.86417867619931554</v>
      </c>
      <c r="C279">
        <v>0.66684338414271072</v>
      </c>
      <c r="D279">
        <v>0.54853527290934923</v>
      </c>
      <c r="E279">
        <v>0.60608536981662686</v>
      </c>
      <c r="F279">
        <v>0.79914301143062383</v>
      </c>
      <c r="G279">
        <v>0.63364258419487418</v>
      </c>
      <c r="H279">
        <v>0.69298035127666846</v>
      </c>
      <c r="I279">
        <v>0.84238437196475757</v>
      </c>
      <c r="J279">
        <v>0.65942223360376151</v>
      </c>
      <c r="M279">
        <f t="shared" si="257"/>
        <v>0.93208933809965777</v>
      </c>
      <c r="N279">
        <f t="shared" si="258"/>
        <v>0.8334216920713553</v>
      </c>
      <c r="O279">
        <f t="shared" si="259"/>
        <v>0.77426763645467456</v>
      </c>
      <c r="P279">
        <f t="shared" si="260"/>
        <v>0.80304268490831343</v>
      </c>
      <c r="Q279">
        <f t="shared" si="261"/>
        <v>0.89957150571531197</v>
      </c>
      <c r="R279">
        <f t="shared" si="262"/>
        <v>0.81682129209743715</v>
      </c>
      <c r="S279">
        <f t="shared" si="263"/>
        <v>0.84649017563833429</v>
      </c>
      <c r="T279">
        <f t="shared" si="264"/>
        <v>0.92119218598237884</v>
      </c>
      <c r="U279">
        <f t="shared" si="265"/>
        <v>0.8297111168018807</v>
      </c>
      <c r="X279">
        <f t="shared" si="266"/>
        <v>9.8667646028302469E-2</v>
      </c>
      <c r="Y279">
        <f t="shared" si="267"/>
        <v>0.15782170164498321</v>
      </c>
      <c r="Z279">
        <f t="shared" si="268"/>
        <v>0.12904665319134434</v>
      </c>
      <c r="AA279">
        <f t="shared" si="269"/>
        <v>3.2517832384345802E-2</v>
      </c>
      <c r="AB279">
        <f t="shared" si="270"/>
        <v>0.11526804600222063</v>
      </c>
      <c r="AC279">
        <f t="shared" si="271"/>
        <v>8.5599162461323486E-2</v>
      </c>
      <c r="AD279">
        <f t="shared" si="272"/>
        <v>1.089715211727893E-2</v>
      </c>
      <c r="AE279">
        <f t="shared" si="273"/>
        <v>0.10237822129777707</v>
      </c>
      <c r="AI279">
        <f t="shared" si="274"/>
        <v>0.19733529205660483</v>
      </c>
      <c r="AJ279">
        <f t="shared" si="275"/>
        <v>0.31564340328996632</v>
      </c>
      <c r="AK279">
        <f t="shared" si="276"/>
        <v>0.25809330638268868</v>
      </c>
      <c r="AL279">
        <f t="shared" si="277"/>
        <v>6.5035664768691714E-2</v>
      </c>
      <c r="AM279">
        <f t="shared" si="278"/>
        <v>0.23053609200444136</v>
      </c>
      <c r="AN279">
        <f t="shared" si="279"/>
        <v>0.17119832492264708</v>
      </c>
      <c r="AO279">
        <f t="shared" si="280"/>
        <v>2.1794304234557971E-2</v>
      </c>
      <c r="AP279">
        <f t="shared" si="281"/>
        <v>0.20475644259555403</v>
      </c>
    </row>
    <row r="280" spans="1:42" x14ac:dyDescent="0.25">
      <c r="A280">
        <v>0.16270000000000001</v>
      </c>
      <c r="B280">
        <v>0.87172708682288325</v>
      </c>
      <c r="C280">
        <v>0.67778681692615617</v>
      </c>
      <c r="D280">
        <v>0.55329519203748367</v>
      </c>
      <c r="E280">
        <v>0.66508280012906751</v>
      </c>
      <c r="F280">
        <v>0.77724536022546997</v>
      </c>
      <c r="G280">
        <v>0.64779044342663206</v>
      </c>
      <c r="H280">
        <v>0.67001854687754592</v>
      </c>
      <c r="I280">
        <v>0.84255096890130576</v>
      </c>
      <c r="J280">
        <v>0.67249160741892067</v>
      </c>
      <c r="K280">
        <f>MIN(C276:J285)</f>
        <v>0.49668390791009631</v>
      </c>
      <c r="M280">
        <f t="shared" si="257"/>
        <v>0.93586354341144162</v>
      </c>
      <c r="N280">
        <f t="shared" si="258"/>
        <v>0.83889340846307814</v>
      </c>
      <c r="O280">
        <f t="shared" si="259"/>
        <v>0.77664759601874178</v>
      </c>
      <c r="P280">
        <f t="shared" si="260"/>
        <v>0.8325414000645337</v>
      </c>
      <c r="Q280">
        <f t="shared" si="261"/>
        <v>0.88862268011273504</v>
      </c>
      <c r="R280">
        <f t="shared" si="262"/>
        <v>0.82389522171331597</v>
      </c>
      <c r="S280">
        <f t="shared" si="263"/>
        <v>0.83500927343877296</v>
      </c>
      <c r="T280">
        <f t="shared" si="264"/>
        <v>0.92127548445065288</v>
      </c>
      <c r="U280">
        <f t="shared" si="265"/>
        <v>0.83624580370946033</v>
      </c>
      <c r="X280">
        <f t="shared" si="266"/>
        <v>9.6970134948363484E-2</v>
      </c>
      <c r="Y280">
        <f t="shared" si="267"/>
        <v>0.15921594739269984</v>
      </c>
      <c r="Z280">
        <f t="shared" si="268"/>
        <v>0.10332214334690792</v>
      </c>
      <c r="AA280">
        <f t="shared" si="269"/>
        <v>4.7240863298706581E-2</v>
      </c>
      <c r="AB280">
        <f t="shared" si="270"/>
        <v>0.11196832169812565</v>
      </c>
      <c r="AC280">
        <f t="shared" si="271"/>
        <v>0.10085426997266866</v>
      </c>
      <c r="AD280">
        <f t="shared" si="272"/>
        <v>1.4588058960788741E-2</v>
      </c>
      <c r="AE280">
        <f t="shared" si="273"/>
        <v>9.9617739701981289E-2</v>
      </c>
      <c r="AI280">
        <f t="shared" si="274"/>
        <v>0.19394026989672708</v>
      </c>
      <c r="AJ280">
        <f t="shared" si="275"/>
        <v>0.31843189478539957</v>
      </c>
      <c r="AK280">
        <f t="shared" si="276"/>
        <v>0.20664428669381574</v>
      </c>
      <c r="AL280">
        <f t="shared" si="277"/>
        <v>9.4481726597413274E-2</v>
      </c>
      <c r="AM280">
        <f t="shared" si="278"/>
        <v>0.22393664339625119</v>
      </c>
      <c r="AN280">
        <f t="shared" si="279"/>
        <v>0.20170853994533733</v>
      </c>
      <c r="AO280">
        <f t="shared" si="280"/>
        <v>2.9176117921577482E-2</v>
      </c>
      <c r="AP280">
        <f t="shared" si="281"/>
        <v>0.19923547940396258</v>
      </c>
    </row>
    <row r="281" spans="1:42" x14ac:dyDescent="0.25">
      <c r="A281">
        <v>0.18179999999999999</v>
      </c>
      <c r="B281">
        <v>0.85207753761487326</v>
      </c>
      <c r="C281">
        <v>0.64529803588607682</v>
      </c>
      <c r="D281">
        <v>0.52473319135251428</v>
      </c>
      <c r="E281">
        <v>0.6494517493308376</v>
      </c>
      <c r="F281">
        <v>0.75105141639701678</v>
      </c>
      <c r="G281">
        <v>0.6788456684844385</v>
      </c>
      <c r="H281">
        <v>0.64283825393144178</v>
      </c>
      <c r="I281">
        <v>0.81228491065142638</v>
      </c>
      <c r="J281">
        <v>0.64000002245515664</v>
      </c>
      <c r="K281">
        <f>MAX(C276:J285)</f>
        <v>0.84255096890130576</v>
      </c>
      <c r="M281">
        <f t="shared" si="257"/>
        <v>0.92603876880743663</v>
      </c>
      <c r="N281">
        <f t="shared" si="258"/>
        <v>0.82264901794303835</v>
      </c>
      <c r="O281">
        <f t="shared" si="259"/>
        <v>0.76236659567625709</v>
      </c>
      <c r="P281">
        <f t="shared" si="260"/>
        <v>0.8247258746654188</v>
      </c>
      <c r="Q281">
        <f t="shared" si="261"/>
        <v>0.87552570819850839</v>
      </c>
      <c r="R281">
        <f t="shared" si="262"/>
        <v>0.8394228342422192</v>
      </c>
      <c r="S281">
        <f t="shared" si="263"/>
        <v>0.82141912696572095</v>
      </c>
      <c r="T281">
        <f t="shared" si="264"/>
        <v>0.90614245532571314</v>
      </c>
      <c r="U281">
        <f t="shared" si="265"/>
        <v>0.82000001122757826</v>
      </c>
      <c r="X281">
        <f t="shared" si="266"/>
        <v>0.10338975086439828</v>
      </c>
      <c r="Y281">
        <f t="shared" si="267"/>
        <v>0.16367217313117954</v>
      </c>
      <c r="Z281">
        <f t="shared" si="268"/>
        <v>0.10131289414201783</v>
      </c>
      <c r="AA281">
        <f t="shared" si="269"/>
        <v>5.051306060892824E-2</v>
      </c>
      <c r="AB281">
        <f t="shared" si="270"/>
        <v>8.6615934565217434E-2</v>
      </c>
      <c r="AC281">
        <f t="shared" si="271"/>
        <v>0.10461964184171568</v>
      </c>
      <c r="AD281">
        <f t="shared" si="272"/>
        <v>1.9896313481723493E-2</v>
      </c>
      <c r="AE281">
        <f t="shared" si="273"/>
        <v>0.10603875757985837</v>
      </c>
      <c r="AI281">
        <f t="shared" si="274"/>
        <v>0.20677950172879644</v>
      </c>
      <c r="AJ281">
        <f t="shared" si="275"/>
        <v>0.32734434626235898</v>
      </c>
      <c r="AK281">
        <f t="shared" si="276"/>
        <v>0.20262578828403566</v>
      </c>
      <c r="AL281">
        <f t="shared" si="277"/>
        <v>0.10102612121785648</v>
      </c>
      <c r="AM281">
        <f t="shared" si="278"/>
        <v>0.17323186913043476</v>
      </c>
      <c r="AN281">
        <f t="shared" si="279"/>
        <v>0.20923928368343148</v>
      </c>
      <c r="AO281">
        <f t="shared" si="280"/>
        <v>3.9792626963446875E-2</v>
      </c>
      <c r="AP281">
        <f t="shared" si="281"/>
        <v>0.21207751515971662</v>
      </c>
    </row>
    <row r="282" spans="1:42" x14ac:dyDescent="0.25">
      <c r="A282">
        <v>0.20100000000000001</v>
      </c>
      <c r="B282">
        <v>0.81608916956654309</v>
      </c>
      <c r="C282">
        <v>0.63046359827950038</v>
      </c>
      <c r="D282">
        <v>0.50175607604889094</v>
      </c>
      <c r="E282">
        <v>0.68035265290851488</v>
      </c>
      <c r="F282">
        <v>0.71446883818136875</v>
      </c>
      <c r="G282">
        <v>0.71273499982843547</v>
      </c>
      <c r="H282">
        <v>0.60788988098294494</v>
      </c>
      <c r="I282">
        <v>0.78580887053892889</v>
      </c>
      <c r="J282">
        <v>0.62092717410384402</v>
      </c>
      <c r="M282">
        <f t="shared" si="257"/>
        <v>0.90804458478327155</v>
      </c>
      <c r="N282">
        <f t="shared" si="258"/>
        <v>0.81523179913975019</v>
      </c>
      <c r="O282">
        <f t="shared" si="259"/>
        <v>0.75087803802444553</v>
      </c>
      <c r="P282">
        <f t="shared" si="260"/>
        <v>0.84017632645425744</v>
      </c>
      <c r="Q282">
        <f t="shared" si="261"/>
        <v>0.85723441909068443</v>
      </c>
      <c r="R282">
        <f t="shared" si="262"/>
        <v>0.85636749991421768</v>
      </c>
      <c r="S282">
        <f t="shared" si="263"/>
        <v>0.80394494049147247</v>
      </c>
      <c r="T282">
        <f t="shared" si="264"/>
        <v>0.89290443526946439</v>
      </c>
      <c r="U282">
        <f t="shared" si="265"/>
        <v>0.81046358705192201</v>
      </c>
      <c r="X282">
        <f t="shared" si="266"/>
        <v>9.2812785643521356E-2</v>
      </c>
      <c r="Y282">
        <f t="shared" si="267"/>
        <v>0.15716654675882602</v>
      </c>
      <c r="Z282">
        <f t="shared" si="268"/>
        <v>6.7868258329014108E-2</v>
      </c>
      <c r="AA282">
        <f t="shared" si="269"/>
        <v>5.0810165692587117E-2</v>
      </c>
      <c r="AB282">
        <f t="shared" si="270"/>
        <v>5.1677084869053869E-2</v>
      </c>
      <c r="AC282">
        <f t="shared" si="271"/>
        <v>0.10409964429179908</v>
      </c>
      <c r="AD282">
        <f t="shared" si="272"/>
        <v>1.5140149513807155E-2</v>
      </c>
      <c r="AE282">
        <f t="shared" si="273"/>
        <v>9.7580997731349539E-2</v>
      </c>
      <c r="AI282">
        <f t="shared" si="274"/>
        <v>0.18562557128704271</v>
      </c>
      <c r="AJ282">
        <f t="shared" si="275"/>
        <v>0.31433309351765215</v>
      </c>
      <c r="AK282">
        <f t="shared" si="276"/>
        <v>0.13573651665802822</v>
      </c>
      <c r="AL282">
        <f t="shared" si="277"/>
        <v>0.10162033138517435</v>
      </c>
      <c r="AM282">
        <f t="shared" si="278"/>
        <v>0.10335416973810763</v>
      </c>
      <c r="AN282">
        <f t="shared" si="279"/>
        <v>0.20819928858359815</v>
      </c>
      <c r="AO282">
        <f t="shared" si="280"/>
        <v>3.0280299027614199E-2</v>
      </c>
      <c r="AP282">
        <f t="shared" si="281"/>
        <v>0.19516199546269908</v>
      </c>
    </row>
    <row r="283" spans="1:42" x14ac:dyDescent="0.25">
      <c r="A283">
        <v>0.22009999999999999</v>
      </c>
      <c r="B283">
        <v>0.84074085842234503</v>
      </c>
      <c r="C283">
        <v>0.64883483677503806</v>
      </c>
      <c r="D283">
        <v>0.5277995415474499</v>
      </c>
      <c r="E283">
        <v>0.69668417429703189</v>
      </c>
      <c r="F283">
        <v>0.72868720381622176</v>
      </c>
      <c r="G283">
        <v>0.71942826892535738</v>
      </c>
      <c r="H283">
        <v>0.61249338274219167</v>
      </c>
      <c r="I283">
        <v>0.80095288512440443</v>
      </c>
      <c r="J283">
        <v>0.64141958149760914</v>
      </c>
      <c r="M283">
        <f t="shared" si="257"/>
        <v>0.92037042921117251</v>
      </c>
      <c r="N283">
        <f t="shared" si="258"/>
        <v>0.82441741838751903</v>
      </c>
      <c r="O283">
        <f t="shared" si="259"/>
        <v>0.76389977077372495</v>
      </c>
      <c r="P283">
        <f t="shared" si="260"/>
        <v>0.84834208714851589</v>
      </c>
      <c r="Q283">
        <f t="shared" si="261"/>
        <v>0.86434360190811088</v>
      </c>
      <c r="R283">
        <f t="shared" si="262"/>
        <v>0.85971413446267864</v>
      </c>
      <c r="S283">
        <f t="shared" si="263"/>
        <v>0.80624669137109584</v>
      </c>
      <c r="T283">
        <f t="shared" si="264"/>
        <v>0.90047644256220227</v>
      </c>
      <c r="U283">
        <f t="shared" si="265"/>
        <v>0.82070979074880457</v>
      </c>
      <c r="X283">
        <f t="shared" si="266"/>
        <v>9.5953010823653484E-2</v>
      </c>
      <c r="Y283">
        <f t="shared" si="267"/>
        <v>0.15647065843744756</v>
      </c>
      <c r="Z283">
        <f t="shared" si="268"/>
        <v>7.2028342062656625E-2</v>
      </c>
      <c r="AA283">
        <f t="shared" si="269"/>
        <v>5.6026827303061633E-2</v>
      </c>
      <c r="AB283">
        <f t="shared" si="270"/>
        <v>6.0656294748493877E-2</v>
      </c>
      <c r="AC283">
        <f t="shared" si="271"/>
        <v>0.11412373784007668</v>
      </c>
      <c r="AD283">
        <f t="shared" si="272"/>
        <v>1.9893986648970241E-2</v>
      </c>
      <c r="AE283">
        <f t="shared" si="273"/>
        <v>9.9660638462367945E-2</v>
      </c>
      <c r="AI283">
        <f t="shared" si="274"/>
        <v>0.19190602164730697</v>
      </c>
      <c r="AJ283">
        <f t="shared" si="275"/>
        <v>0.31294131687489513</v>
      </c>
      <c r="AK283">
        <f t="shared" si="276"/>
        <v>0.14405668412531314</v>
      </c>
      <c r="AL283">
        <f t="shared" si="277"/>
        <v>0.11205365460612327</v>
      </c>
      <c r="AM283">
        <f t="shared" si="278"/>
        <v>0.12131258949698764</v>
      </c>
      <c r="AN283">
        <f t="shared" si="279"/>
        <v>0.22824747568015336</v>
      </c>
      <c r="AO283">
        <f t="shared" si="280"/>
        <v>3.9787973297940593E-2</v>
      </c>
      <c r="AP283">
        <f t="shared" si="281"/>
        <v>0.19932127692473589</v>
      </c>
    </row>
    <row r="284" spans="1:42" x14ac:dyDescent="0.25">
      <c r="A284">
        <v>0.23930000000000001</v>
      </c>
      <c r="B284">
        <v>0.80010576414595458</v>
      </c>
      <c r="C284">
        <v>0.62202258262233523</v>
      </c>
      <c r="D284">
        <v>0.51310431424221858</v>
      </c>
      <c r="E284">
        <v>0.67502159904544812</v>
      </c>
      <c r="F284">
        <v>0.70670193300312301</v>
      </c>
      <c r="G284">
        <v>0.70317470160056428</v>
      </c>
      <c r="H284">
        <v>0.60582019061899628</v>
      </c>
      <c r="I284">
        <v>0.76984137759881188</v>
      </c>
      <c r="J284">
        <v>0.62096382077957379</v>
      </c>
      <c r="M284">
        <f t="shared" si="257"/>
        <v>0.90005288207297729</v>
      </c>
      <c r="N284">
        <f t="shared" si="258"/>
        <v>0.81101129131116756</v>
      </c>
      <c r="O284">
        <f t="shared" si="259"/>
        <v>0.75655215712110935</v>
      </c>
      <c r="P284">
        <f t="shared" si="260"/>
        <v>0.837510799522724</v>
      </c>
      <c r="Q284">
        <f t="shared" si="261"/>
        <v>0.8533509665015615</v>
      </c>
      <c r="R284">
        <f t="shared" si="262"/>
        <v>0.85158735080028214</v>
      </c>
      <c r="S284">
        <f t="shared" si="263"/>
        <v>0.80291009530949808</v>
      </c>
      <c r="T284">
        <f t="shared" si="264"/>
        <v>0.88492068879940589</v>
      </c>
      <c r="U284">
        <f t="shared" si="265"/>
        <v>0.8104819103897869</v>
      </c>
      <c r="X284">
        <f t="shared" si="266"/>
        <v>8.904159076180973E-2</v>
      </c>
      <c r="Y284">
        <f t="shared" si="267"/>
        <v>0.14350072495186794</v>
      </c>
      <c r="Z284">
        <f t="shared" si="268"/>
        <v>6.2542082550253286E-2</v>
      </c>
      <c r="AA284">
        <f t="shared" si="269"/>
        <v>4.6701915571415786E-2</v>
      </c>
      <c r="AB284">
        <f t="shared" si="270"/>
        <v>4.846553127269515E-2</v>
      </c>
      <c r="AC284">
        <f t="shared" si="271"/>
        <v>9.7142786763479205E-2</v>
      </c>
      <c r="AD284">
        <f t="shared" si="272"/>
        <v>1.5132193273571404E-2</v>
      </c>
      <c r="AE284">
        <f t="shared" si="273"/>
        <v>8.9570971683190392E-2</v>
      </c>
      <c r="AI284">
        <f t="shared" si="274"/>
        <v>0.17808318152361935</v>
      </c>
      <c r="AJ284">
        <f t="shared" si="275"/>
        <v>0.28700144990373599</v>
      </c>
      <c r="AK284">
        <f t="shared" si="276"/>
        <v>0.12508416510050646</v>
      </c>
      <c r="AL284">
        <f t="shared" si="277"/>
        <v>9.3403831142831573E-2</v>
      </c>
      <c r="AM284">
        <f t="shared" si="278"/>
        <v>9.6931062545390301E-2</v>
      </c>
      <c r="AN284">
        <f t="shared" si="279"/>
        <v>0.1942855735269583</v>
      </c>
      <c r="AO284">
        <f t="shared" si="280"/>
        <v>3.0264386547142696E-2</v>
      </c>
      <c r="AP284">
        <f t="shared" si="281"/>
        <v>0.17914194336638078</v>
      </c>
    </row>
    <row r="285" spans="1:42" x14ac:dyDescent="0.25">
      <c r="A285">
        <v>0.25840000000000002</v>
      </c>
      <c r="B285">
        <v>0.78391962540747151</v>
      </c>
      <c r="C285">
        <v>0.59941771621906936</v>
      </c>
      <c r="D285">
        <v>0.49668390791009631</v>
      </c>
      <c r="E285">
        <v>0.67466766033909409</v>
      </c>
      <c r="F285">
        <v>0.69913303250502001</v>
      </c>
      <c r="G285">
        <v>0.72823500829660603</v>
      </c>
      <c r="H285">
        <v>0.5885155008908618</v>
      </c>
      <c r="I285">
        <v>0.74940463063080964</v>
      </c>
      <c r="J285">
        <v>0.6004767581205166</v>
      </c>
      <c r="M285">
        <f t="shared" si="257"/>
        <v>0.89195981270373581</v>
      </c>
      <c r="N285">
        <f t="shared" si="258"/>
        <v>0.79970885810953463</v>
      </c>
      <c r="O285">
        <f t="shared" si="259"/>
        <v>0.74834195395504821</v>
      </c>
      <c r="P285">
        <f t="shared" si="260"/>
        <v>0.83733383016954699</v>
      </c>
      <c r="Q285">
        <f t="shared" si="261"/>
        <v>0.84956651625251001</v>
      </c>
      <c r="R285">
        <f t="shared" si="262"/>
        <v>0.86411750414830302</v>
      </c>
      <c r="S285">
        <f t="shared" si="263"/>
        <v>0.7942577504454309</v>
      </c>
      <c r="T285">
        <f t="shared" si="264"/>
        <v>0.87470231531540477</v>
      </c>
      <c r="U285">
        <f t="shared" si="265"/>
        <v>0.8002383790602583</v>
      </c>
      <c r="X285">
        <f t="shared" si="266"/>
        <v>9.2250954594201184E-2</v>
      </c>
      <c r="Y285">
        <f t="shared" si="267"/>
        <v>0.1436178587486876</v>
      </c>
      <c r="Z285">
        <f t="shared" si="268"/>
        <v>5.4625982534188822E-2</v>
      </c>
      <c r="AA285">
        <f t="shared" si="269"/>
        <v>4.2393296451225804E-2</v>
      </c>
      <c r="AB285">
        <f t="shared" si="270"/>
        <v>2.7842308555432793E-2</v>
      </c>
      <c r="AC285">
        <f t="shared" si="271"/>
        <v>9.7702062258304911E-2</v>
      </c>
      <c r="AD285">
        <f t="shared" si="272"/>
        <v>1.7257497388331045E-2</v>
      </c>
      <c r="AE285">
        <f t="shared" si="273"/>
        <v>9.1721433643477512E-2</v>
      </c>
      <c r="AF285">
        <f>COUNT(X276:X285)</f>
        <v>10</v>
      </c>
      <c r="AI285">
        <f t="shared" si="274"/>
        <v>0.18450190918840215</v>
      </c>
      <c r="AJ285">
        <f t="shared" si="275"/>
        <v>0.2872357174973752</v>
      </c>
      <c r="AK285">
        <f t="shared" si="276"/>
        <v>0.10925196506837742</v>
      </c>
      <c r="AL285">
        <f t="shared" si="277"/>
        <v>8.4786592902451496E-2</v>
      </c>
      <c r="AM285">
        <f t="shared" si="278"/>
        <v>5.5684617110865475E-2</v>
      </c>
      <c r="AN285">
        <f t="shared" si="279"/>
        <v>0.19540412451660971</v>
      </c>
      <c r="AO285">
        <f t="shared" si="280"/>
        <v>3.4514994776661867E-2</v>
      </c>
      <c r="AP285">
        <f t="shared" si="281"/>
        <v>0.18344286728695491</v>
      </c>
    </row>
    <row r="286" spans="1:42" s="10" customFormat="1" x14ac:dyDescent="0.25">
      <c r="A286" s="10" t="s">
        <v>80</v>
      </c>
      <c r="M286" s="10">
        <f>AVERAGE(M276:M285)</f>
        <v>0.91543581022743259</v>
      </c>
      <c r="N286" s="10">
        <f t="shared" ref="N286" si="298">AVERAGE(N276:N285)</f>
        <v>0.82494845288854912</v>
      </c>
      <c r="O286" s="10">
        <f t="shared" ref="O286" si="299">AVERAGE(O276:O285)</f>
        <v>0.7674793121492508</v>
      </c>
      <c r="P286" s="10">
        <f t="shared" ref="P286" si="300">AVERAGE(P276:P285)</f>
        <v>0.81760656529529729</v>
      </c>
      <c r="Q286" s="10">
        <f t="shared" ref="Q286" si="301">AVERAGE(Q276:Q285)</f>
        <v>0.87969425979041882</v>
      </c>
      <c r="R286" s="10">
        <f t="shared" ref="R286" si="302">AVERAGE(R276:R285)</f>
        <v>0.82755612365207676</v>
      </c>
      <c r="S286" s="10">
        <f t="shared" ref="S286" si="303">AVERAGE(S276:S285)</f>
        <v>0.82897403632411959</v>
      </c>
      <c r="T286" s="10">
        <f t="shared" ref="T286" si="304">AVERAGE(T276:T285)</f>
        <v>0.90040351064561597</v>
      </c>
      <c r="U286" s="10">
        <f t="shared" ref="U286" si="305">AVERAGE(U276:U285)</f>
        <v>0.82319996698603126</v>
      </c>
      <c r="X286" s="10">
        <f>((M286-N286)/N286)*100</f>
        <v>10.968849874442803</v>
      </c>
      <c r="Y286" s="10">
        <f>((M286-O286)/O286)*100</f>
        <v>19.278239261439385</v>
      </c>
      <c r="Z286" s="10">
        <f>((M286-P286)/P286)*100</f>
        <v>11.965320373473523</v>
      </c>
      <c r="AA286" s="10">
        <f>((M286-Q286)/Q286)*100</f>
        <v>4.0629514219552769</v>
      </c>
      <c r="AB286" s="10">
        <f>((M286-R286)/R286)*100</f>
        <v>10.619181474669679</v>
      </c>
      <c r="AC286" s="10">
        <f>((M286-S286)/S286)*100</f>
        <v>10.429973692144372</v>
      </c>
      <c r="AD286" s="10">
        <f>((M286-T286)/T286)*100</f>
        <v>1.6695069937075233</v>
      </c>
      <c r="AE286" s="10">
        <f>((M286-U286)/U286)*100</f>
        <v>11.204548948064579</v>
      </c>
      <c r="AI286" s="10">
        <f t="shared" si="274"/>
        <v>0</v>
      </c>
      <c r="AJ286" s="10">
        <f t="shared" si="275"/>
        <v>0</v>
      </c>
      <c r="AK286" s="10">
        <f t="shared" si="276"/>
        <v>0</v>
      </c>
      <c r="AL286" s="10">
        <f t="shared" si="277"/>
        <v>0</v>
      </c>
      <c r="AM286" s="10">
        <f t="shared" si="278"/>
        <v>0</v>
      </c>
      <c r="AN286" s="10">
        <f t="shared" si="279"/>
        <v>0</v>
      </c>
      <c r="AO286" s="10">
        <f t="shared" si="280"/>
        <v>0</v>
      </c>
      <c r="AP286" s="10">
        <f t="shared" si="281"/>
        <v>0</v>
      </c>
    </row>
    <row r="287" spans="1:42" x14ac:dyDescent="0.25">
      <c r="A287">
        <v>6.7999999999999996E-3</v>
      </c>
      <c r="B287">
        <v>0.83084249676901345</v>
      </c>
      <c r="C287">
        <v>0.79508816489817891</v>
      </c>
      <c r="D287">
        <v>0.65941450870342244</v>
      </c>
      <c r="E287">
        <v>0.78409330972677949</v>
      </c>
      <c r="F287">
        <v>0.83078936560507266</v>
      </c>
      <c r="G287">
        <v>0.81827114036821147</v>
      </c>
      <c r="H287">
        <v>0.79811192699915567</v>
      </c>
      <c r="I287">
        <v>0.82515304672324508</v>
      </c>
      <c r="J287">
        <v>0.76105968881950259</v>
      </c>
      <c r="M287">
        <f t="shared" si="257"/>
        <v>0.91542124838450678</v>
      </c>
      <c r="N287">
        <f t="shared" si="258"/>
        <v>0.89754408244908945</v>
      </c>
      <c r="O287">
        <f t="shared" si="259"/>
        <v>0.82970725435171122</v>
      </c>
      <c r="P287">
        <f t="shared" si="260"/>
        <v>0.89204665486338974</v>
      </c>
      <c r="Q287">
        <f t="shared" si="261"/>
        <v>0.91539468280253633</v>
      </c>
      <c r="R287">
        <f t="shared" si="262"/>
        <v>0.90913557018410573</v>
      </c>
      <c r="S287">
        <f t="shared" si="263"/>
        <v>0.89905596349957784</v>
      </c>
      <c r="T287">
        <f t="shared" si="264"/>
        <v>0.91257652336162254</v>
      </c>
      <c r="U287">
        <f t="shared" si="265"/>
        <v>0.88052984440975135</v>
      </c>
      <c r="X287">
        <f t="shared" si="266"/>
        <v>1.7877165935417327E-2</v>
      </c>
      <c r="Y287">
        <f t="shared" si="267"/>
        <v>8.571399403279556E-2</v>
      </c>
      <c r="Z287">
        <f t="shared" si="268"/>
        <v>2.3374593521117037E-2</v>
      </c>
      <c r="AA287">
        <f t="shared" si="269"/>
        <v>2.6565581970450225E-5</v>
      </c>
      <c r="AB287">
        <f t="shared" si="270"/>
        <v>6.2856782004010459E-3</v>
      </c>
      <c r="AC287">
        <f t="shared" si="271"/>
        <v>1.6365284884928943E-2</v>
      </c>
      <c r="AD287">
        <f t="shared" si="272"/>
        <v>2.8447250228842424E-3</v>
      </c>
      <c r="AE287">
        <f t="shared" si="273"/>
        <v>3.4891403974755431E-2</v>
      </c>
      <c r="AI287">
        <f t="shared" si="274"/>
        <v>3.5754331870834544E-2</v>
      </c>
      <c r="AJ287">
        <f t="shared" si="275"/>
        <v>0.17142798806559101</v>
      </c>
      <c r="AK287">
        <f t="shared" si="276"/>
        <v>4.6749187042233964E-2</v>
      </c>
      <c r="AL287">
        <f t="shared" si="277"/>
        <v>5.3131163940789428E-5</v>
      </c>
      <c r="AM287">
        <f t="shared" si="278"/>
        <v>1.2571356400801981E-2</v>
      </c>
      <c r="AN287">
        <f t="shared" si="279"/>
        <v>3.2730569769857776E-2</v>
      </c>
      <c r="AO287">
        <f t="shared" si="280"/>
        <v>5.6894500457683739E-3</v>
      </c>
      <c r="AP287">
        <f t="shared" si="281"/>
        <v>6.9782807949510861E-2</v>
      </c>
    </row>
    <row r="288" spans="1:42" x14ac:dyDescent="0.25">
      <c r="A288">
        <v>8.3000000000000001E-3</v>
      </c>
      <c r="B288">
        <v>0.82833426366796792</v>
      </c>
      <c r="C288">
        <v>0.78515231327697199</v>
      </c>
      <c r="D288">
        <v>0.64455172106923397</v>
      </c>
      <c r="E288">
        <v>0.7786828309246514</v>
      </c>
      <c r="F288">
        <v>0.823353049766815</v>
      </c>
      <c r="G288">
        <v>0.81766134142045266</v>
      </c>
      <c r="H288">
        <v>0.78698465618608315</v>
      </c>
      <c r="I288">
        <v>0.82139100530875908</v>
      </c>
      <c r="J288">
        <v>0.74886581070289182</v>
      </c>
      <c r="M288">
        <f t="shared" si="257"/>
        <v>0.9141671318339839</v>
      </c>
      <c r="N288">
        <f t="shared" si="258"/>
        <v>0.892576156638486</v>
      </c>
      <c r="O288">
        <f t="shared" si="259"/>
        <v>0.82227586053461699</v>
      </c>
      <c r="P288">
        <f t="shared" si="260"/>
        <v>0.8893414154623257</v>
      </c>
      <c r="Q288">
        <f t="shared" si="261"/>
        <v>0.91167652488340756</v>
      </c>
      <c r="R288">
        <f t="shared" si="262"/>
        <v>0.90883067071022627</v>
      </c>
      <c r="S288">
        <f t="shared" si="263"/>
        <v>0.89349232809304158</v>
      </c>
      <c r="T288">
        <f t="shared" si="264"/>
        <v>0.91069550265437949</v>
      </c>
      <c r="U288">
        <f t="shared" si="265"/>
        <v>0.87443290535144591</v>
      </c>
      <c r="X288">
        <f t="shared" si="266"/>
        <v>2.1590975195497908E-2</v>
      </c>
      <c r="Y288">
        <f t="shared" si="267"/>
        <v>9.1891271299366917E-2</v>
      </c>
      <c r="Z288">
        <f t="shared" si="268"/>
        <v>2.4825716371658202E-2</v>
      </c>
      <c r="AA288">
        <f t="shared" si="269"/>
        <v>2.4906069505763462E-3</v>
      </c>
      <c r="AB288">
        <f t="shared" si="270"/>
        <v>5.3364611237576298E-3</v>
      </c>
      <c r="AC288">
        <f t="shared" si="271"/>
        <v>2.0674803740942327E-2</v>
      </c>
      <c r="AD288">
        <f t="shared" si="272"/>
        <v>3.4716291796044185E-3</v>
      </c>
      <c r="AE288">
        <f t="shared" si="273"/>
        <v>3.9734226482537993E-2</v>
      </c>
      <c r="AI288">
        <f t="shared" si="274"/>
        <v>4.3181950390995927E-2</v>
      </c>
      <c r="AJ288">
        <f t="shared" si="275"/>
        <v>0.18378254259873394</v>
      </c>
      <c r="AK288">
        <f t="shared" si="276"/>
        <v>4.9651432743316515E-2</v>
      </c>
      <c r="AL288">
        <f t="shared" si="277"/>
        <v>4.9812139011529144E-3</v>
      </c>
      <c r="AM288">
        <f t="shared" si="278"/>
        <v>1.067292224751526E-2</v>
      </c>
      <c r="AN288">
        <f t="shared" si="279"/>
        <v>4.1349607481884765E-2</v>
      </c>
      <c r="AO288">
        <f t="shared" si="280"/>
        <v>6.943258359208837E-3</v>
      </c>
      <c r="AP288">
        <f t="shared" si="281"/>
        <v>7.9468452965076097E-2</v>
      </c>
    </row>
    <row r="289" spans="1:42" x14ac:dyDescent="0.25">
      <c r="A289">
        <v>9.7999999999999997E-3</v>
      </c>
      <c r="B289">
        <v>0.82949171348863748</v>
      </c>
      <c r="C289">
        <v>0.77795715050606107</v>
      </c>
      <c r="D289">
        <v>0.63542121489275705</v>
      </c>
      <c r="E289">
        <v>0.77189365446248126</v>
      </c>
      <c r="F289">
        <v>0.81936740287846288</v>
      </c>
      <c r="G289">
        <v>0.82112423495059594</v>
      </c>
      <c r="H289">
        <v>0.77934180624414906</v>
      </c>
      <c r="I289">
        <v>0.81900203820749007</v>
      </c>
      <c r="J289">
        <v>0.74000633518459069</v>
      </c>
      <c r="M289">
        <f t="shared" si="257"/>
        <v>0.91474585674431874</v>
      </c>
      <c r="N289">
        <f t="shared" si="258"/>
        <v>0.88897857525303059</v>
      </c>
      <c r="O289">
        <f t="shared" si="259"/>
        <v>0.81771060744637847</v>
      </c>
      <c r="P289">
        <f t="shared" si="260"/>
        <v>0.88594682723124063</v>
      </c>
      <c r="Q289">
        <f t="shared" si="261"/>
        <v>0.90968370143923138</v>
      </c>
      <c r="R289">
        <f t="shared" si="262"/>
        <v>0.91056211747529803</v>
      </c>
      <c r="S289">
        <f t="shared" si="263"/>
        <v>0.88967090312207453</v>
      </c>
      <c r="T289">
        <f t="shared" si="264"/>
        <v>0.90950101910374503</v>
      </c>
      <c r="U289">
        <f t="shared" si="265"/>
        <v>0.87000316759229535</v>
      </c>
      <c r="X289">
        <f t="shared" si="266"/>
        <v>2.5767281491288152E-2</v>
      </c>
      <c r="Y289">
        <f t="shared" si="267"/>
        <v>9.7035249297940274E-2</v>
      </c>
      <c r="Z289">
        <f t="shared" si="268"/>
        <v>2.8799029513078112E-2</v>
      </c>
      <c r="AA289">
        <f t="shared" si="269"/>
        <v>5.0621553050873569E-3</v>
      </c>
      <c r="AB289">
        <f t="shared" si="270"/>
        <v>4.1837392690207142E-3</v>
      </c>
      <c r="AC289">
        <f t="shared" si="271"/>
        <v>2.5074953622244212E-2</v>
      </c>
      <c r="AD289">
        <f t="shared" si="272"/>
        <v>5.2448376405737074E-3</v>
      </c>
      <c r="AE289">
        <f t="shared" si="273"/>
        <v>4.4742689152023396E-2</v>
      </c>
      <c r="AI289">
        <f t="shared" si="274"/>
        <v>5.1534562982576415E-2</v>
      </c>
      <c r="AJ289">
        <f t="shared" si="275"/>
        <v>0.19407049859588044</v>
      </c>
      <c r="AK289">
        <f t="shared" si="276"/>
        <v>5.7598059026156223E-2</v>
      </c>
      <c r="AL289">
        <f t="shared" si="277"/>
        <v>1.0124310610174603E-2</v>
      </c>
      <c r="AM289">
        <f t="shared" si="278"/>
        <v>8.3674785380415395E-3</v>
      </c>
      <c r="AN289">
        <f t="shared" si="279"/>
        <v>5.0149907244488423E-2</v>
      </c>
      <c r="AO289">
        <f t="shared" si="280"/>
        <v>1.0489675281147415E-2</v>
      </c>
      <c r="AP289">
        <f t="shared" si="281"/>
        <v>8.9485378304046792E-2</v>
      </c>
    </row>
    <row r="290" spans="1:42" x14ac:dyDescent="0.25">
      <c r="A290">
        <v>1.1299999999999999E-2</v>
      </c>
      <c r="B290">
        <v>0.81894023433966623</v>
      </c>
      <c r="C290">
        <v>0.76358605826091852</v>
      </c>
      <c r="D290">
        <v>0.62391692205719962</v>
      </c>
      <c r="E290">
        <v>0.75817252967209547</v>
      </c>
      <c r="F290">
        <v>0.80299461355067525</v>
      </c>
      <c r="G290">
        <v>0.80941597566912971</v>
      </c>
      <c r="H290">
        <v>0.76423061197214859</v>
      </c>
      <c r="I290">
        <v>0.80435263581996719</v>
      </c>
      <c r="J290">
        <v>0.72703041446977512</v>
      </c>
      <c r="M290">
        <f t="shared" si="257"/>
        <v>0.90947011716983317</v>
      </c>
      <c r="N290">
        <f t="shared" si="258"/>
        <v>0.8817930291304592</v>
      </c>
      <c r="O290">
        <f t="shared" si="259"/>
        <v>0.81195846102859981</v>
      </c>
      <c r="P290">
        <f t="shared" si="260"/>
        <v>0.87908626483604779</v>
      </c>
      <c r="Q290">
        <f t="shared" si="261"/>
        <v>0.90149730677533757</v>
      </c>
      <c r="R290">
        <f t="shared" si="262"/>
        <v>0.90470798783456485</v>
      </c>
      <c r="S290">
        <f t="shared" si="263"/>
        <v>0.88211530598607424</v>
      </c>
      <c r="T290">
        <f t="shared" si="264"/>
        <v>0.90217631790998354</v>
      </c>
      <c r="U290">
        <f t="shared" si="265"/>
        <v>0.86351520723488751</v>
      </c>
      <c r="X290">
        <f t="shared" si="266"/>
        <v>2.7677088039373965E-2</v>
      </c>
      <c r="Y290">
        <f t="shared" si="267"/>
        <v>9.751165614123336E-2</v>
      </c>
      <c r="Z290">
        <f t="shared" si="268"/>
        <v>3.0383852333785377E-2</v>
      </c>
      <c r="AA290">
        <f t="shared" si="269"/>
        <v>7.9728103944955997E-3</v>
      </c>
      <c r="AB290">
        <f t="shared" si="270"/>
        <v>4.7621293352683169E-3</v>
      </c>
      <c r="AC290">
        <f t="shared" si="271"/>
        <v>2.7354811183758931E-2</v>
      </c>
      <c r="AD290">
        <f t="shared" si="272"/>
        <v>7.2937992598496315E-3</v>
      </c>
      <c r="AE290">
        <f t="shared" si="273"/>
        <v>4.5954909934945665E-2</v>
      </c>
      <c r="AI290">
        <f t="shared" si="274"/>
        <v>5.5354176078747708E-2</v>
      </c>
      <c r="AJ290">
        <f t="shared" si="275"/>
        <v>0.19502331228246661</v>
      </c>
      <c r="AK290">
        <f t="shared" si="276"/>
        <v>6.0767704667570754E-2</v>
      </c>
      <c r="AL290">
        <f t="shared" si="277"/>
        <v>1.5945620788990977E-2</v>
      </c>
      <c r="AM290">
        <f t="shared" si="278"/>
        <v>9.5242586705365229E-3</v>
      </c>
      <c r="AN290">
        <f t="shared" si="279"/>
        <v>5.4709622367517641E-2</v>
      </c>
      <c r="AO290">
        <f t="shared" si="280"/>
        <v>1.4587598519699041E-2</v>
      </c>
      <c r="AP290">
        <f t="shared" si="281"/>
        <v>9.1909819869891107E-2</v>
      </c>
    </row>
    <row r="291" spans="1:42" x14ac:dyDescent="0.25">
      <c r="A291">
        <v>1.2800000000000001E-2</v>
      </c>
      <c r="B291">
        <v>0.82202981683328435</v>
      </c>
      <c r="C291">
        <v>0.76212227470294824</v>
      </c>
      <c r="D291">
        <v>0.62527562756536381</v>
      </c>
      <c r="E291">
        <v>0.7625148432113007</v>
      </c>
      <c r="F291">
        <v>0.80185729709050191</v>
      </c>
      <c r="G291">
        <v>0.80664052183624713</v>
      </c>
      <c r="H291">
        <v>0.76251107112020233</v>
      </c>
      <c r="I291">
        <v>0.80463128256387018</v>
      </c>
      <c r="J291">
        <v>0.72640464375998071</v>
      </c>
      <c r="M291">
        <f t="shared" si="257"/>
        <v>0.91101490841664212</v>
      </c>
      <c r="N291">
        <f t="shared" si="258"/>
        <v>0.88106113735147407</v>
      </c>
      <c r="O291">
        <f t="shared" si="259"/>
        <v>0.81263781378268196</v>
      </c>
      <c r="P291">
        <f t="shared" si="260"/>
        <v>0.88125742160565035</v>
      </c>
      <c r="Q291">
        <f t="shared" si="261"/>
        <v>0.90092864854525101</v>
      </c>
      <c r="R291">
        <f t="shared" si="262"/>
        <v>0.90332026091812356</v>
      </c>
      <c r="S291">
        <f t="shared" si="263"/>
        <v>0.88125553556010117</v>
      </c>
      <c r="T291">
        <f t="shared" si="264"/>
        <v>0.90231564128193509</v>
      </c>
      <c r="U291">
        <f t="shared" si="265"/>
        <v>0.86320232187999035</v>
      </c>
      <c r="X291">
        <f t="shared" si="266"/>
        <v>2.9953771065168056E-2</v>
      </c>
      <c r="Y291">
        <f t="shared" si="267"/>
        <v>9.837709463396016E-2</v>
      </c>
      <c r="Z291">
        <f t="shared" si="268"/>
        <v>2.9757486810991773E-2</v>
      </c>
      <c r="AA291">
        <f t="shared" si="269"/>
        <v>1.0086259871391112E-2</v>
      </c>
      <c r="AB291">
        <f t="shared" si="270"/>
        <v>7.6946474985185587E-3</v>
      </c>
      <c r="AC291">
        <f t="shared" si="271"/>
        <v>2.9759372856540955E-2</v>
      </c>
      <c r="AD291">
        <f t="shared" si="272"/>
        <v>8.6992671347070338E-3</v>
      </c>
      <c r="AE291">
        <f t="shared" si="273"/>
        <v>4.7812586536651769E-2</v>
      </c>
      <c r="AI291">
        <f t="shared" si="274"/>
        <v>5.9907542130336111E-2</v>
      </c>
      <c r="AJ291">
        <f t="shared" si="275"/>
        <v>0.19675418926792054</v>
      </c>
      <c r="AK291">
        <f t="shared" si="276"/>
        <v>5.9514973621983658E-2</v>
      </c>
      <c r="AL291">
        <f t="shared" si="277"/>
        <v>2.0172519742782447E-2</v>
      </c>
      <c r="AM291">
        <f t="shared" si="278"/>
        <v>1.5389294997037228E-2</v>
      </c>
      <c r="AN291">
        <f t="shared" si="279"/>
        <v>5.9518745713082022E-2</v>
      </c>
      <c r="AO291">
        <f t="shared" si="280"/>
        <v>1.7398534269414179E-2</v>
      </c>
      <c r="AP291">
        <f t="shared" si="281"/>
        <v>9.5625173073303649E-2</v>
      </c>
    </row>
    <row r="292" spans="1:42" x14ac:dyDescent="0.25">
      <c r="A292">
        <v>1.43E-2</v>
      </c>
      <c r="B292">
        <v>0.82896626075749236</v>
      </c>
      <c r="C292">
        <v>0.7663161136640686</v>
      </c>
      <c r="D292">
        <v>0.62341435026030523</v>
      </c>
      <c r="E292">
        <v>0.76968244242196615</v>
      </c>
      <c r="F292">
        <v>0.80610094575053337</v>
      </c>
      <c r="G292">
        <v>0.81703637888388148</v>
      </c>
      <c r="H292">
        <v>0.76471697291731422</v>
      </c>
      <c r="I292">
        <v>0.81029311022693062</v>
      </c>
      <c r="J292">
        <v>0.72825136964247639</v>
      </c>
      <c r="M292">
        <f t="shared" si="257"/>
        <v>0.91448313037874618</v>
      </c>
      <c r="N292">
        <f t="shared" si="258"/>
        <v>0.8831580568320343</v>
      </c>
      <c r="O292">
        <f t="shared" si="259"/>
        <v>0.81170717513015256</v>
      </c>
      <c r="P292">
        <f t="shared" si="260"/>
        <v>0.88484122121098308</v>
      </c>
      <c r="Q292">
        <f t="shared" si="261"/>
        <v>0.90305047287526663</v>
      </c>
      <c r="R292">
        <f t="shared" si="262"/>
        <v>0.90851818944194074</v>
      </c>
      <c r="S292">
        <f t="shared" si="263"/>
        <v>0.88235848645865711</v>
      </c>
      <c r="T292">
        <f t="shared" si="264"/>
        <v>0.90514655511346531</v>
      </c>
      <c r="U292">
        <f t="shared" si="265"/>
        <v>0.86412568482123819</v>
      </c>
      <c r="X292">
        <f t="shared" si="266"/>
        <v>3.1325073546711879E-2</v>
      </c>
      <c r="Y292">
        <f t="shared" si="267"/>
        <v>0.10277595524859362</v>
      </c>
      <c r="Z292">
        <f t="shared" si="268"/>
        <v>2.9641909167763103E-2</v>
      </c>
      <c r="AA292">
        <f t="shared" si="269"/>
        <v>1.1432657503479549E-2</v>
      </c>
      <c r="AB292">
        <f t="shared" si="270"/>
        <v>5.9649409368054407E-3</v>
      </c>
      <c r="AC292">
        <f t="shared" si="271"/>
        <v>3.2124643920089069E-2</v>
      </c>
      <c r="AD292">
        <f t="shared" si="272"/>
        <v>9.3365752652808665E-3</v>
      </c>
      <c r="AE292">
        <f t="shared" si="273"/>
        <v>5.0357445557507985E-2</v>
      </c>
      <c r="AI292">
        <f t="shared" si="274"/>
        <v>6.2650147093423758E-2</v>
      </c>
      <c r="AJ292">
        <f t="shared" si="275"/>
        <v>0.20555191049718713</v>
      </c>
      <c r="AK292">
        <f t="shared" si="276"/>
        <v>5.9283818335526206E-2</v>
      </c>
      <c r="AL292">
        <f t="shared" si="277"/>
        <v>2.2865315006958986E-2</v>
      </c>
      <c r="AM292">
        <f t="shared" si="278"/>
        <v>1.1929881873610881E-2</v>
      </c>
      <c r="AN292">
        <f t="shared" si="279"/>
        <v>6.4249287840178138E-2</v>
      </c>
      <c r="AO292">
        <f t="shared" si="280"/>
        <v>1.8673150530561733E-2</v>
      </c>
      <c r="AP292">
        <f t="shared" si="281"/>
        <v>0.10071489111501597</v>
      </c>
    </row>
    <row r="293" spans="1:42" x14ac:dyDescent="0.25">
      <c r="A293">
        <v>1.5800000000000002E-2</v>
      </c>
      <c r="B293">
        <v>0.82896272438295515</v>
      </c>
      <c r="C293">
        <v>0.78126461453315266</v>
      </c>
      <c r="D293">
        <v>0.63748493233806047</v>
      </c>
      <c r="E293">
        <v>0.78422123763979401</v>
      </c>
      <c r="F293">
        <v>0.81499830305721188</v>
      </c>
      <c r="G293">
        <v>0.83028444063029616</v>
      </c>
      <c r="H293">
        <v>0.77466964402489846</v>
      </c>
      <c r="I293">
        <v>0.82239694891543447</v>
      </c>
      <c r="J293">
        <v>0.74322786538059571</v>
      </c>
      <c r="M293">
        <f t="shared" si="257"/>
        <v>0.91448136219147758</v>
      </c>
      <c r="N293">
        <f t="shared" si="258"/>
        <v>0.89063230726657627</v>
      </c>
      <c r="O293">
        <f t="shared" si="259"/>
        <v>0.81874246616903024</v>
      </c>
      <c r="P293">
        <f t="shared" si="260"/>
        <v>0.89211061881989706</v>
      </c>
      <c r="Q293">
        <f t="shared" si="261"/>
        <v>0.90749915152860594</v>
      </c>
      <c r="R293">
        <f t="shared" si="262"/>
        <v>0.91514222031514803</v>
      </c>
      <c r="S293">
        <f t="shared" si="263"/>
        <v>0.88733482201244929</v>
      </c>
      <c r="T293">
        <f t="shared" si="264"/>
        <v>0.91119847445771729</v>
      </c>
      <c r="U293">
        <f t="shared" si="265"/>
        <v>0.87161393269029785</v>
      </c>
      <c r="X293">
        <f t="shared" si="266"/>
        <v>2.3849054924901303E-2</v>
      </c>
      <c r="Y293">
        <f t="shared" si="267"/>
        <v>9.573889602244734E-2</v>
      </c>
      <c r="Z293">
        <f t="shared" si="268"/>
        <v>2.2370743371580515E-2</v>
      </c>
      <c r="AA293">
        <f t="shared" si="269"/>
        <v>6.9822106628716352E-3</v>
      </c>
      <c r="AB293">
        <f t="shared" si="270"/>
        <v>-6.6085812367044916E-4</v>
      </c>
      <c r="AC293">
        <f t="shared" si="271"/>
        <v>2.7146540179028289E-2</v>
      </c>
      <c r="AD293">
        <f t="shared" si="272"/>
        <v>3.2828877337602869E-3</v>
      </c>
      <c r="AE293">
        <f t="shared" si="273"/>
        <v>4.2867429501179721E-2</v>
      </c>
      <c r="AI293">
        <f t="shared" si="274"/>
        <v>4.7698109849802495E-2</v>
      </c>
      <c r="AJ293">
        <f t="shared" si="275"/>
        <v>0.19147779204489468</v>
      </c>
      <c r="AK293">
        <f t="shared" si="276"/>
        <v>4.4741486743161141E-2</v>
      </c>
      <c r="AL293">
        <f t="shared" si="277"/>
        <v>1.396442132574327E-2</v>
      </c>
      <c r="AM293">
        <f t="shared" si="278"/>
        <v>-1.3217162473410093E-3</v>
      </c>
      <c r="AN293">
        <f t="shared" si="279"/>
        <v>5.4293080358056689E-2</v>
      </c>
      <c r="AO293">
        <f t="shared" si="280"/>
        <v>6.5657754675206847E-3</v>
      </c>
      <c r="AP293">
        <f t="shared" si="281"/>
        <v>8.5734859002359443E-2</v>
      </c>
    </row>
    <row r="294" spans="1:42" x14ac:dyDescent="0.25">
      <c r="A294">
        <v>1.7299999999999999E-2</v>
      </c>
      <c r="B294">
        <v>0.83977670739807742</v>
      </c>
      <c r="C294">
        <v>0.79736914051060359</v>
      </c>
      <c r="D294">
        <v>0.64042597943591284</v>
      </c>
      <c r="E294">
        <v>0.79094374144447521</v>
      </c>
      <c r="F294">
        <v>0.83774959354273748</v>
      </c>
      <c r="G294">
        <v>0.84784497603434195</v>
      </c>
      <c r="H294">
        <v>0.79188590302099859</v>
      </c>
      <c r="I294">
        <v>0.84232517443174859</v>
      </c>
      <c r="J294">
        <v>0.7545836307709668</v>
      </c>
      <c r="M294">
        <f t="shared" si="257"/>
        <v>0.91988835369903876</v>
      </c>
      <c r="N294">
        <f t="shared" si="258"/>
        <v>0.8986845702553018</v>
      </c>
      <c r="O294">
        <f t="shared" si="259"/>
        <v>0.82021298971795642</v>
      </c>
      <c r="P294">
        <f t="shared" si="260"/>
        <v>0.89547187072223755</v>
      </c>
      <c r="Q294">
        <f t="shared" si="261"/>
        <v>0.91887479677136874</v>
      </c>
      <c r="R294">
        <f t="shared" si="262"/>
        <v>0.92392248801717103</v>
      </c>
      <c r="S294">
        <f t="shared" si="263"/>
        <v>0.8959429515104993</v>
      </c>
      <c r="T294">
        <f t="shared" si="264"/>
        <v>0.9211625872158743</v>
      </c>
      <c r="U294">
        <f t="shared" si="265"/>
        <v>0.8772918153854834</v>
      </c>
      <c r="X294">
        <f t="shared" si="266"/>
        <v>2.1203783443736968E-2</v>
      </c>
      <c r="Y294">
        <f t="shared" si="267"/>
        <v>9.9675363981082343E-2</v>
      </c>
      <c r="Z294">
        <f t="shared" si="268"/>
        <v>2.4416482976801213E-2</v>
      </c>
      <c r="AA294">
        <f t="shared" si="269"/>
        <v>1.0135569276700229E-3</v>
      </c>
      <c r="AB294">
        <f t="shared" si="270"/>
        <v>-4.0341343181322653E-3</v>
      </c>
      <c r="AC294">
        <f t="shared" si="271"/>
        <v>2.3945402188539466E-2</v>
      </c>
      <c r="AD294">
        <f t="shared" si="272"/>
        <v>-1.2742335168355323E-3</v>
      </c>
      <c r="AE294">
        <f t="shared" si="273"/>
        <v>4.2596538313555365E-2</v>
      </c>
      <c r="AI294">
        <f t="shared" si="274"/>
        <v>4.2407566887473824E-2</v>
      </c>
      <c r="AJ294">
        <f t="shared" si="275"/>
        <v>0.19935072796216458</v>
      </c>
      <c r="AK294">
        <f t="shared" si="276"/>
        <v>4.8832965953602203E-2</v>
      </c>
      <c r="AL294">
        <f t="shared" si="277"/>
        <v>2.0271138553399348E-3</v>
      </c>
      <c r="AM294">
        <f t="shared" si="278"/>
        <v>-8.0682686362645306E-3</v>
      </c>
      <c r="AN294">
        <f t="shared" si="279"/>
        <v>4.7890804377078822E-2</v>
      </c>
      <c r="AO294">
        <f t="shared" si="280"/>
        <v>-2.5484670336711757E-3</v>
      </c>
      <c r="AP294">
        <f t="shared" si="281"/>
        <v>8.519307662711062E-2</v>
      </c>
    </row>
    <row r="295" spans="1:42" x14ac:dyDescent="0.25">
      <c r="A295">
        <v>1.8800000000000001E-2</v>
      </c>
      <c r="B295">
        <v>0.8482741878999368</v>
      </c>
      <c r="C295">
        <v>0.80190080203493397</v>
      </c>
      <c r="D295">
        <v>0.64249906509001364</v>
      </c>
      <c r="E295">
        <v>0.80293339157566102</v>
      </c>
      <c r="F295">
        <v>0.84191404664984315</v>
      </c>
      <c r="G295">
        <v>0.86119133367471568</v>
      </c>
      <c r="H295">
        <v>0.79417899627270183</v>
      </c>
      <c r="I295">
        <v>0.84912431282817025</v>
      </c>
      <c r="J295">
        <v>0.75702016090235136</v>
      </c>
      <c r="M295">
        <f t="shared" si="257"/>
        <v>0.92413709394996846</v>
      </c>
      <c r="N295">
        <f t="shared" si="258"/>
        <v>0.90095040101746693</v>
      </c>
      <c r="O295">
        <f t="shared" si="259"/>
        <v>0.82124953254500688</v>
      </c>
      <c r="P295">
        <f t="shared" si="260"/>
        <v>0.90146669578783056</v>
      </c>
      <c r="Q295">
        <f t="shared" si="261"/>
        <v>0.92095702332492158</v>
      </c>
      <c r="R295">
        <f t="shared" si="262"/>
        <v>0.93059566683735784</v>
      </c>
      <c r="S295">
        <f t="shared" si="263"/>
        <v>0.89708949813635086</v>
      </c>
      <c r="T295">
        <f t="shared" si="264"/>
        <v>0.92456215641408512</v>
      </c>
      <c r="U295">
        <f t="shared" si="265"/>
        <v>0.87851008045117562</v>
      </c>
      <c r="X295">
        <f t="shared" si="266"/>
        <v>2.3186692932501529E-2</v>
      </c>
      <c r="Y295">
        <f t="shared" si="267"/>
        <v>0.10288756140496158</v>
      </c>
      <c r="Z295">
        <f t="shared" si="268"/>
        <v>2.2670398162137895E-2</v>
      </c>
      <c r="AA295">
        <f t="shared" si="269"/>
        <v>3.1800706250468824E-3</v>
      </c>
      <c r="AB295">
        <f t="shared" si="270"/>
        <v>-6.45857288738938E-3</v>
      </c>
      <c r="AC295">
        <f t="shared" si="271"/>
        <v>2.7047595813617598E-2</v>
      </c>
      <c r="AD295">
        <f t="shared" si="272"/>
        <v>-4.2506246411666559E-4</v>
      </c>
      <c r="AE295">
        <f t="shared" si="273"/>
        <v>4.5627013498792834E-2</v>
      </c>
      <c r="AI295">
        <f t="shared" si="274"/>
        <v>4.6373385865002836E-2</v>
      </c>
      <c r="AJ295">
        <f t="shared" si="275"/>
        <v>0.20577512280992316</v>
      </c>
      <c r="AK295">
        <f t="shared" si="276"/>
        <v>4.5340796324275789E-2</v>
      </c>
      <c r="AL295">
        <f t="shared" si="277"/>
        <v>6.3601412500936538E-3</v>
      </c>
      <c r="AM295">
        <f t="shared" si="278"/>
        <v>-1.2917145774778871E-2</v>
      </c>
      <c r="AN295">
        <f t="shared" si="279"/>
        <v>5.4095191627234973E-2</v>
      </c>
      <c r="AO295">
        <f t="shared" si="280"/>
        <v>-8.5012492823344221E-4</v>
      </c>
      <c r="AP295">
        <f t="shared" si="281"/>
        <v>9.1254026997585447E-2</v>
      </c>
    </row>
    <row r="296" spans="1:42" x14ac:dyDescent="0.25">
      <c r="A296">
        <v>2.0299999999999999E-2</v>
      </c>
      <c r="B296">
        <v>0.86408436861022397</v>
      </c>
      <c r="C296">
        <v>0.81408750069832359</v>
      </c>
      <c r="D296">
        <v>0.64503385255093415</v>
      </c>
      <c r="E296">
        <v>0.80713456691197782</v>
      </c>
      <c r="F296">
        <v>0.85930899163672325</v>
      </c>
      <c r="G296">
        <v>0.87786453736535908</v>
      </c>
      <c r="H296">
        <v>0.80876017739978145</v>
      </c>
      <c r="I296">
        <v>0.86735759273434365</v>
      </c>
      <c r="J296">
        <v>0.76609205361343391</v>
      </c>
      <c r="M296">
        <f t="shared" si="257"/>
        <v>0.93204218430511199</v>
      </c>
      <c r="N296">
        <f t="shared" si="258"/>
        <v>0.90704375034916174</v>
      </c>
      <c r="O296">
        <f t="shared" si="259"/>
        <v>0.82251692627546702</v>
      </c>
      <c r="P296">
        <f t="shared" si="260"/>
        <v>0.90356728345598891</v>
      </c>
      <c r="Q296">
        <f t="shared" si="261"/>
        <v>0.92965449581836168</v>
      </c>
      <c r="R296">
        <f t="shared" si="262"/>
        <v>0.93893226868267954</v>
      </c>
      <c r="S296">
        <f t="shared" si="263"/>
        <v>0.90438008869989073</v>
      </c>
      <c r="T296">
        <f t="shared" si="264"/>
        <v>0.93367879636717177</v>
      </c>
      <c r="U296">
        <f t="shared" si="265"/>
        <v>0.88304602680671695</v>
      </c>
      <c r="X296">
        <f t="shared" si="266"/>
        <v>2.499843395595025E-2</v>
      </c>
      <c r="Y296">
        <f t="shared" si="267"/>
        <v>0.10952525802964497</v>
      </c>
      <c r="Z296">
        <f t="shared" si="268"/>
        <v>2.8474900849123075E-2</v>
      </c>
      <c r="AA296">
        <f t="shared" si="269"/>
        <v>2.3876884867503056E-3</v>
      </c>
      <c r="AB296">
        <f t="shared" si="270"/>
        <v>-6.8900843775675513E-3</v>
      </c>
      <c r="AC296">
        <f t="shared" si="271"/>
        <v>2.766209560522126E-2</v>
      </c>
      <c r="AD296">
        <f t="shared" si="272"/>
        <v>-1.6366120620597835E-3</v>
      </c>
      <c r="AE296">
        <f t="shared" si="273"/>
        <v>4.8996157498395032E-2</v>
      </c>
      <c r="AF296">
        <f>COUNT(X287:X296)</f>
        <v>10</v>
      </c>
      <c r="AI296">
        <f t="shared" si="274"/>
        <v>4.9996867911900389E-2</v>
      </c>
      <c r="AJ296">
        <f t="shared" si="275"/>
        <v>0.21905051605928982</v>
      </c>
      <c r="AK296">
        <f t="shared" si="276"/>
        <v>5.694980169824615E-2</v>
      </c>
      <c r="AL296">
        <f t="shared" si="277"/>
        <v>4.7753769735007223E-3</v>
      </c>
      <c r="AM296">
        <f t="shared" si="278"/>
        <v>-1.3780168755135103E-2</v>
      </c>
      <c r="AN296">
        <f t="shared" si="279"/>
        <v>5.5324191210442519E-2</v>
      </c>
      <c r="AO296">
        <f t="shared" si="280"/>
        <v>-3.273224124119678E-3</v>
      </c>
      <c r="AP296">
        <f t="shared" si="281"/>
        <v>9.7992314996790064E-2</v>
      </c>
    </row>
    <row r="297" spans="1:42" s="10" customFormat="1" x14ac:dyDescent="0.25">
      <c r="A297" s="10" t="s">
        <v>15</v>
      </c>
      <c r="M297" s="10">
        <f>AVERAGE(M287:M296)</f>
        <v>0.91698513870736276</v>
      </c>
      <c r="N297" s="10">
        <f t="shared" ref="N297" si="306">AVERAGE(N287:N296)</f>
        <v>0.89224220665430798</v>
      </c>
      <c r="O297" s="10">
        <f t="shared" ref="O297" si="307">AVERAGE(O287:O296)</f>
        <v>0.81887190869816018</v>
      </c>
      <c r="P297" s="10">
        <f t="shared" ref="P297" si="308">AVERAGE(P287:P296)</f>
        <v>0.89051362739955908</v>
      </c>
      <c r="Q297" s="10">
        <f t="shared" ref="Q297" si="309">AVERAGE(Q287:Q296)</f>
        <v>0.91192168047642885</v>
      </c>
      <c r="R297" s="10">
        <f t="shared" ref="R297" si="310">AVERAGE(R287:R296)</f>
        <v>0.91536674404166152</v>
      </c>
      <c r="S297" s="10">
        <f t="shared" ref="S297" si="311">AVERAGE(S287:S296)</f>
        <v>0.89126958830787184</v>
      </c>
      <c r="T297" s="10">
        <f t="shared" ref="T297" si="312">AVERAGE(T287:T296)</f>
        <v>0.91330135738799778</v>
      </c>
      <c r="U297" s="10">
        <f t="shared" ref="U297" si="313">AVERAGE(U287:U296)</f>
        <v>0.87262709866232824</v>
      </c>
      <c r="X297" s="10">
        <f>((M297-N297)/N297)*100</f>
        <v>2.7731183156908457</v>
      </c>
      <c r="Y297" s="10">
        <f>((M297-O297)/O297)*100</f>
        <v>11.981511267761361</v>
      </c>
      <c r="Z297" s="10">
        <f>((M297-P297)/P297)*100</f>
        <v>2.9726115910325461</v>
      </c>
      <c r="AA297" s="10">
        <f>((M297-Q297)/Q297)*100</f>
        <v>0.55525143653658127</v>
      </c>
      <c r="AB297" s="10">
        <f>((M297-R297)/R297)*100</f>
        <v>0.17680286903973219</v>
      </c>
      <c r="AC297" s="10">
        <f>((M297-S297)/S297)*100</f>
        <v>2.8852718343406525</v>
      </c>
      <c r="AD297" s="10">
        <f>((M297-T297)/T297)*100</f>
        <v>0.40334784237049975</v>
      </c>
      <c r="AE297" s="10">
        <f>((M297-U297)/U297)*100</f>
        <v>5.0832755610079108</v>
      </c>
      <c r="AI297" s="10">
        <f t="shared" si="274"/>
        <v>0</v>
      </c>
      <c r="AJ297" s="10">
        <f t="shared" si="275"/>
        <v>0</v>
      </c>
      <c r="AK297" s="10">
        <f t="shared" si="276"/>
        <v>0</v>
      </c>
      <c r="AL297" s="10">
        <f t="shared" si="277"/>
        <v>0</v>
      </c>
      <c r="AM297" s="10">
        <f t="shared" si="278"/>
        <v>0</v>
      </c>
      <c r="AN297" s="10">
        <f t="shared" si="279"/>
        <v>0</v>
      </c>
      <c r="AO297" s="10">
        <f t="shared" si="280"/>
        <v>0</v>
      </c>
      <c r="AP297" s="10">
        <f t="shared" si="281"/>
        <v>0</v>
      </c>
    </row>
    <row r="298" spans="1:42" x14ac:dyDescent="0.25">
      <c r="A298">
        <v>7.1000000000000004E-3</v>
      </c>
      <c r="B298">
        <v>0.81173833640702264</v>
      </c>
      <c r="C298">
        <v>0.7908894344320343</v>
      </c>
      <c r="D298">
        <v>0.6253449310797029</v>
      </c>
      <c r="E298">
        <v>0.79129039048141003</v>
      </c>
      <c r="F298">
        <v>0.82588984603715965</v>
      </c>
      <c r="G298">
        <v>0.79931332603049432</v>
      </c>
      <c r="H298">
        <v>0.7569753830264816</v>
      </c>
      <c r="I298">
        <v>0.83079527086307392</v>
      </c>
      <c r="J298">
        <v>0.74575869786747218</v>
      </c>
      <c r="M298">
        <f t="shared" si="257"/>
        <v>0.90586916820351138</v>
      </c>
      <c r="N298">
        <f t="shared" si="258"/>
        <v>0.89544471721601715</v>
      </c>
      <c r="O298">
        <f t="shared" si="259"/>
        <v>0.8126724655398514</v>
      </c>
      <c r="P298">
        <f t="shared" si="260"/>
        <v>0.89564519524070496</v>
      </c>
      <c r="Q298">
        <f t="shared" si="261"/>
        <v>0.91294492301857977</v>
      </c>
      <c r="R298">
        <f t="shared" si="262"/>
        <v>0.89965666301524716</v>
      </c>
      <c r="S298">
        <f t="shared" si="263"/>
        <v>0.8784876915132408</v>
      </c>
      <c r="T298">
        <f t="shared" si="264"/>
        <v>0.91539763543153696</v>
      </c>
      <c r="U298">
        <f t="shared" si="265"/>
        <v>0.87287934893373609</v>
      </c>
      <c r="X298">
        <f t="shared" si="266"/>
        <v>1.0424450987494227E-2</v>
      </c>
      <c r="Y298">
        <f t="shared" si="267"/>
        <v>9.319670266365998E-2</v>
      </c>
      <c r="Z298">
        <f t="shared" si="268"/>
        <v>1.0223972962806416E-2</v>
      </c>
      <c r="AA298">
        <f t="shared" si="269"/>
        <v>-7.0757548150683913E-3</v>
      </c>
      <c r="AB298">
        <f t="shared" si="270"/>
        <v>6.2125051882642168E-3</v>
      </c>
      <c r="AC298">
        <f t="shared" si="271"/>
        <v>2.7381476690270579E-2</v>
      </c>
      <c r="AD298">
        <f t="shared" si="272"/>
        <v>-9.5284672280255833E-3</v>
      </c>
      <c r="AE298">
        <f t="shared" si="273"/>
        <v>3.2989819269775289E-2</v>
      </c>
      <c r="AI298">
        <f t="shared" si="274"/>
        <v>2.0848901974988343E-2</v>
      </c>
      <c r="AJ298">
        <f t="shared" si="275"/>
        <v>0.18639340532731974</v>
      </c>
      <c r="AK298">
        <f t="shared" si="276"/>
        <v>2.0447945925612609E-2</v>
      </c>
      <c r="AL298">
        <f t="shared" si="277"/>
        <v>-1.4151509630137005E-2</v>
      </c>
      <c r="AM298">
        <f t="shared" si="278"/>
        <v>1.2425010376528323E-2</v>
      </c>
      <c r="AN298">
        <f t="shared" si="279"/>
        <v>5.4762953380541046E-2</v>
      </c>
      <c r="AO298">
        <f t="shared" si="280"/>
        <v>-1.9056934456051278E-2</v>
      </c>
      <c r="AP298">
        <f t="shared" si="281"/>
        <v>6.5979638539550467E-2</v>
      </c>
    </row>
    <row r="299" spans="1:42" x14ac:dyDescent="0.25">
      <c r="A299">
        <v>8.6999999999999994E-3</v>
      </c>
      <c r="B299">
        <v>0.80898021353392779</v>
      </c>
      <c r="C299">
        <v>0.77814218735601071</v>
      </c>
      <c r="D299">
        <v>0.60773209031770203</v>
      </c>
      <c r="E299">
        <v>0.7898335959927385</v>
      </c>
      <c r="F299">
        <v>0.81352416531503458</v>
      </c>
      <c r="G299">
        <v>0.80262785250510349</v>
      </c>
      <c r="H299">
        <v>0.73898020501609485</v>
      </c>
      <c r="I299">
        <v>0.82426420198548556</v>
      </c>
      <c r="J299">
        <v>0.72907625618065053</v>
      </c>
      <c r="M299">
        <f t="shared" si="257"/>
        <v>0.90449010676696395</v>
      </c>
      <c r="N299">
        <f t="shared" si="258"/>
        <v>0.8890710936780053</v>
      </c>
      <c r="O299">
        <f t="shared" si="259"/>
        <v>0.80386604515885107</v>
      </c>
      <c r="P299">
        <f t="shared" si="260"/>
        <v>0.89491679799636925</v>
      </c>
      <c r="Q299">
        <f t="shared" si="261"/>
        <v>0.90676208265751734</v>
      </c>
      <c r="R299">
        <f t="shared" si="262"/>
        <v>0.9013139262525518</v>
      </c>
      <c r="S299">
        <f t="shared" si="263"/>
        <v>0.86949010250804748</v>
      </c>
      <c r="T299">
        <f t="shared" si="264"/>
        <v>0.91213210099274278</v>
      </c>
      <c r="U299">
        <f t="shared" si="265"/>
        <v>0.86453812809032526</v>
      </c>
      <c r="X299">
        <f t="shared" si="266"/>
        <v>1.5419013088958655E-2</v>
      </c>
      <c r="Y299">
        <f t="shared" si="267"/>
        <v>0.10062406160811288</v>
      </c>
      <c r="Z299">
        <f t="shared" si="268"/>
        <v>9.5733087705947018E-3</v>
      </c>
      <c r="AA299">
        <f t="shared" si="269"/>
        <v>-2.2719758905533904E-3</v>
      </c>
      <c r="AB299">
        <f t="shared" si="270"/>
        <v>3.1761805144121524E-3</v>
      </c>
      <c r="AC299">
        <f t="shared" si="271"/>
        <v>3.5000004258916473E-2</v>
      </c>
      <c r="AD299">
        <f t="shared" si="272"/>
        <v>-7.6419942257788254E-3</v>
      </c>
      <c r="AE299">
        <f t="shared" si="273"/>
        <v>3.9951978676638689E-2</v>
      </c>
      <c r="AI299">
        <f t="shared" si="274"/>
        <v>3.0838026177917088E-2</v>
      </c>
      <c r="AJ299">
        <f t="shared" si="275"/>
        <v>0.20124812321622576</v>
      </c>
      <c r="AK299">
        <f t="shared" si="276"/>
        <v>1.9146617541189292E-2</v>
      </c>
      <c r="AL299">
        <f t="shared" si="277"/>
        <v>-4.5439517811067809E-3</v>
      </c>
      <c r="AM299">
        <f t="shared" si="278"/>
        <v>6.3523610288243049E-3</v>
      </c>
      <c r="AN299">
        <f t="shared" si="279"/>
        <v>7.0000008517832946E-2</v>
      </c>
      <c r="AO299">
        <f t="shared" si="280"/>
        <v>-1.5283988451557762E-2</v>
      </c>
      <c r="AP299">
        <f t="shared" si="281"/>
        <v>7.9903957353277266E-2</v>
      </c>
    </row>
    <row r="300" spans="1:42" x14ac:dyDescent="0.25">
      <c r="A300">
        <v>1.03E-2</v>
      </c>
      <c r="B300">
        <v>0.80959279919865701</v>
      </c>
      <c r="C300">
        <v>0.77293377109189609</v>
      </c>
      <c r="D300">
        <v>0.59726285832380133</v>
      </c>
      <c r="E300">
        <v>0.79039808404033751</v>
      </c>
      <c r="F300">
        <v>0.80484157972954573</v>
      </c>
      <c r="G300">
        <v>0.80871115591608311</v>
      </c>
      <c r="H300">
        <v>0.72702134156509313</v>
      </c>
      <c r="I300">
        <v>0.8210608691959671</v>
      </c>
      <c r="J300">
        <v>0.72068687176195967</v>
      </c>
      <c r="M300">
        <f t="shared" si="257"/>
        <v>0.90479639959932845</v>
      </c>
      <c r="N300">
        <f t="shared" si="258"/>
        <v>0.8864668855459481</v>
      </c>
      <c r="O300">
        <f t="shared" si="259"/>
        <v>0.79863142916190066</v>
      </c>
      <c r="P300">
        <f t="shared" si="260"/>
        <v>0.89519904202016876</v>
      </c>
      <c r="Q300">
        <f t="shared" si="261"/>
        <v>0.90242078986477292</v>
      </c>
      <c r="R300">
        <f t="shared" si="262"/>
        <v>0.90435557795804156</v>
      </c>
      <c r="S300">
        <f t="shared" si="263"/>
        <v>0.86351067078254662</v>
      </c>
      <c r="T300">
        <f t="shared" si="264"/>
        <v>0.91053043459798355</v>
      </c>
      <c r="U300">
        <f t="shared" si="265"/>
        <v>0.86034343588097983</v>
      </c>
      <c r="X300">
        <f t="shared" si="266"/>
        <v>1.8329514053380347E-2</v>
      </c>
      <c r="Y300">
        <f t="shared" si="267"/>
        <v>0.10616497043742779</v>
      </c>
      <c r="Z300">
        <f t="shared" si="268"/>
        <v>9.5973575791596932E-3</v>
      </c>
      <c r="AA300">
        <f t="shared" si="269"/>
        <v>2.3756097345555283E-3</v>
      </c>
      <c r="AB300">
        <f t="shared" si="270"/>
        <v>4.4082164128689261E-4</v>
      </c>
      <c r="AC300">
        <f t="shared" si="271"/>
        <v>4.128572881678183E-2</v>
      </c>
      <c r="AD300">
        <f t="shared" si="272"/>
        <v>-5.734034998655102E-3</v>
      </c>
      <c r="AE300">
        <f t="shared" si="273"/>
        <v>4.4452963718348615E-2</v>
      </c>
      <c r="AI300">
        <f t="shared" si="274"/>
        <v>3.6659028106760916E-2</v>
      </c>
      <c r="AJ300">
        <f t="shared" si="275"/>
        <v>0.21232994087485568</v>
      </c>
      <c r="AK300">
        <f t="shared" si="276"/>
        <v>1.9194715158319497E-2</v>
      </c>
      <c r="AL300">
        <f t="shared" si="277"/>
        <v>4.7512194691112786E-3</v>
      </c>
      <c r="AM300">
        <f t="shared" si="278"/>
        <v>8.8164328257389624E-4</v>
      </c>
      <c r="AN300">
        <f t="shared" si="279"/>
        <v>8.2571457633563883E-2</v>
      </c>
      <c r="AO300">
        <f t="shared" si="280"/>
        <v>-1.1468069997310093E-2</v>
      </c>
      <c r="AP300">
        <f t="shared" si="281"/>
        <v>8.8905927436697341E-2</v>
      </c>
    </row>
    <row r="301" spans="1:42" x14ac:dyDescent="0.25">
      <c r="A301">
        <v>1.1900000000000001E-2</v>
      </c>
      <c r="B301">
        <v>0.80780048825245288</v>
      </c>
      <c r="C301">
        <v>0.75347233361020838</v>
      </c>
      <c r="D301">
        <v>0.57953926262903221</v>
      </c>
      <c r="E301">
        <v>0.78546143166789373</v>
      </c>
      <c r="F301">
        <v>0.78423034413371695</v>
      </c>
      <c r="G301">
        <v>0.80519550883192348</v>
      </c>
      <c r="H301">
        <v>0.70671295439644854</v>
      </c>
      <c r="I301">
        <v>0.80645603293732282</v>
      </c>
      <c r="J301">
        <v>0.70091572859942797</v>
      </c>
      <c r="M301">
        <f t="shared" si="257"/>
        <v>0.90390024412622649</v>
      </c>
      <c r="N301">
        <f t="shared" si="258"/>
        <v>0.87673616680510413</v>
      </c>
      <c r="O301">
        <f t="shared" si="259"/>
        <v>0.78976963131451616</v>
      </c>
      <c r="P301">
        <f t="shared" si="260"/>
        <v>0.89273071583394681</v>
      </c>
      <c r="Q301">
        <f t="shared" si="261"/>
        <v>0.89211517206685853</v>
      </c>
      <c r="R301">
        <f t="shared" si="262"/>
        <v>0.90259775441596179</v>
      </c>
      <c r="S301">
        <f t="shared" si="263"/>
        <v>0.85335647719822427</v>
      </c>
      <c r="T301">
        <f t="shared" si="264"/>
        <v>0.90322801646866147</v>
      </c>
      <c r="U301">
        <f t="shared" si="265"/>
        <v>0.85045786429971404</v>
      </c>
      <c r="X301">
        <f t="shared" si="266"/>
        <v>2.716407732112236E-2</v>
      </c>
      <c r="Y301">
        <f t="shared" si="267"/>
        <v>0.11413061281171033</v>
      </c>
      <c r="Z301">
        <f t="shared" si="268"/>
        <v>1.1169528292279685E-2</v>
      </c>
      <c r="AA301">
        <f t="shared" si="269"/>
        <v>1.1785072059367963E-2</v>
      </c>
      <c r="AB301">
        <f t="shared" si="270"/>
        <v>1.3024897102646982E-3</v>
      </c>
      <c r="AC301">
        <f t="shared" si="271"/>
        <v>5.0543766928002221E-2</v>
      </c>
      <c r="AD301">
        <f t="shared" si="272"/>
        <v>6.7222765756502767E-4</v>
      </c>
      <c r="AE301">
        <f t="shared" si="273"/>
        <v>5.3442379826512454E-2</v>
      </c>
      <c r="AI301">
        <f t="shared" si="274"/>
        <v>5.4328154642244497E-2</v>
      </c>
      <c r="AJ301">
        <f t="shared" si="275"/>
        <v>0.22826122562342066</v>
      </c>
      <c r="AK301">
        <f t="shared" si="276"/>
        <v>2.2339056584559147E-2</v>
      </c>
      <c r="AL301">
        <f t="shared" si="277"/>
        <v>2.3570144118735925E-2</v>
      </c>
      <c r="AM301">
        <f t="shared" si="278"/>
        <v>2.6049794205293964E-3</v>
      </c>
      <c r="AN301">
        <f t="shared" si="279"/>
        <v>0.10108753385600433</v>
      </c>
      <c r="AO301">
        <f t="shared" si="280"/>
        <v>1.3444553151300553E-3</v>
      </c>
      <c r="AP301">
        <f t="shared" si="281"/>
        <v>0.10688475965302491</v>
      </c>
    </row>
    <row r="302" spans="1:42" x14ac:dyDescent="0.25">
      <c r="A302">
        <v>1.35E-2</v>
      </c>
      <c r="B302">
        <v>0.80758114014079663</v>
      </c>
      <c r="C302">
        <v>0.75061609005344965</v>
      </c>
      <c r="D302">
        <v>0.57162158434755339</v>
      </c>
      <c r="E302">
        <v>0.78674432197024458</v>
      </c>
      <c r="F302">
        <v>0.77874814644285373</v>
      </c>
      <c r="G302">
        <v>0.81015790257794129</v>
      </c>
      <c r="H302">
        <v>0.69774617419544782</v>
      </c>
      <c r="I302">
        <v>0.80385804073983957</v>
      </c>
      <c r="J302">
        <v>0.69643283122252631</v>
      </c>
      <c r="M302">
        <f t="shared" si="257"/>
        <v>0.90379057007039831</v>
      </c>
      <c r="N302">
        <f t="shared" si="258"/>
        <v>0.87530804502672477</v>
      </c>
      <c r="O302">
        <f t="shared" si="259"/>
        <v>0.7858107921737767</v>
      </c>
      <c r="P302">
        <f t="shared" si="260"/>
        <v>0.89337216098512229</v>
      </c>
      <c r="Q302">
        <f t="shared" si="261"/>
        <v>0.88937407322142681</v>
      </c>
      <c r="R302">
        <f t="shared" si="262"/>
        <v>0.90507895128897065</v>
      </c>
      <c r="S302">
        <f t="shared" si="263"/>
        <v>0.84887308709772391</v>
      </c>
      <c r="T302">
        <f t="shared" si="264"/>
        <v>0.90192902036991973</v>
      </c>
      <c r="U302">
        <f t="shared" si="265"/>
        <v>0.84821641561126315</v>
      </c>
      <c r="X302">
        <f t="shared" si="266"/>
        <v>2.8482525043673546E-2</v>
      </c>
      <c r="Y302">
        <f t="shared" si="267"/>
        <v>0.11797977789662162</v>
      </c>
      <c r="Z302">
        <f t="shared" si="268"/>
        <v>1.0418409085276026E-2</v>
      </c>
      <c r="AA302">
        <f t="shared" si="269"/>
        <v>1.4416496848971505E-2</v>
      </c>
      <c r="AB302">
        <f t="shared" si="270"/>
        <v>-1.288381218572332E-3</v>
      </c>
      <c r="AC302">
        <f t="shared" si="271"/>
        <v>5.4917482972674403E-2</v>
      </c>
      <c r="AD302">
        <f t="shared" si="272"/>
        <v>1.8615497004785819E-3</v>
      </c>
      <c r="AE302">
        <f t="shared" si="273"/>
        <v>5.5574154459135161E-2</v>
      </c>
      <c r="AI302">
        <f t="shared" si="274"/>
        <v>5.696505008734698E-2</v>
      </c>
      <c r="AJ302">
        <f t="shared" si="275"/>
        <v>0.23595955579324324</v>
      </c>
      <c r="AK302">
        <f t="shared" si="276"/>
        <v>2.0836818170552052E-2</v>
      </c>
      <c r="AL302">
        <f t="shared" si="277"/>
        <v>2.8832993697942899E-2</v>
      </c>
      <c r="AM302">
        <f t="shared" si="278"/>
        <v>-2.576762437144664E-3</v>
      </c>
      <c r="AN302">
        <f t="shared" si="279"/>
        <v>0.10983496594534881</v>
      </c>
      <c r="AO302">
        <f t="shared" si="280"/>
        <v>3.7230994009570528E-3</v>
      </c>
      <c r="AP302">
        <f t="shared" si="281"/>
        <v>0.11114830891827032</v>
      </c>
    </row>
    <row r="303" spans="1:42" x14ac:dyDescent="0.25">
      <c r="A303">
        <v>1.4999999999999999E-2</v>
      </c>
      <c r="B303">
        <v>0.80999120621596876</v>
      </c>
      <c r="C303">
        <v>0.7452600337945019</v>
      </c>
      <c r="D303">
        <v>0.56506689172577373</v>
      </c>
      <c r="E303">
        <v>0.79032024751354013</v>
      </c>
      <c r="F303">
        <v>0.77220620974456389</v>
      </c>
      <c r="G303">
        <v>0.81619872454641107</v>
      </c>
      <c r="H303">
        <v>0.68853159645212414</v>
      </c>
      <c r="I303">
        <v>0.80148604591342054</v>
      </c>
      <c r="J303">
        <v>0.68949111305229493</v>
      </c>
      <c r="M303">
        <f t="shared" si="257"/>
        <v>0.90499560310798444</v>
      </c>
      <c r="N303">
        <f t="shared" si="258"/>
        <v>0.87263001689725095</v>
      </c>
      <c r="O303">
        <f t="shared" si="259"/>
        <v>0.78253344586288687</v>
      </c>
      <c r="P303">
        <f t="shared" si="260"/>
        <v>0.89516012375677012</v>
      </c>
      <c r="Q303">
        <f t="shared" si="261"/>
        <v>0.88610310487228194</v>
      </c>
      <c r="R303">
        <f t="shared" si="262"/>
        <v>0.90809936227320553</v>
      </c>
      <c r="S303">
        <f t="shared" si="263"/>
        <v>0.84426579822606207</v>
      </c>
      <c r="T303">
        <f t="shared" si="264"/>
        <v>0.90074302295671027</v>
      </c>
      <c r="U303">
        <f t="shared" si="265"/>
        <v>0.84474555652614747</v>
      </c>
      <c r="X303">
        <f t="shared" si="266"/>
        <v>3.2365586210733488E-2</v>
      </c>
      <c r="Y303">
        <f t="shared" si="267"/>
        <v>0.12246215724509757</v>
      </c>
      <c r="Z303">
        <f t="shared" si="268"/>
        <v>9.8354793512143157E-3</v>
      </c>
      <c r="AA303">
        <f t="shared" si="269"/>
        <v>1.8892498235702493E-2</v>
      </c>
      <c r="AB303">
        <f t="shared" si="270"/>
        <v>-3.1037591652210983E-3</v>
      </c>
      <c r="AC303">
        <f t="shared" si="271"/>
        <v>6.0729804881922367E-2</v>
      </c>
      <c r="AD303">
        <f t="shared" si="272"/>
        <v>4.2525801512741657E-3</v>
      </c>
      <c r="AE303">
        <f t="shared" si="273"/>
        <v>6.0250046581836969E-2</v>
      </c>
      <c r="AI303">
        <f t="shared" si="274"/>
        <v>6.4731172421466865E-2</v>
      </c>
      <c r="AJ303">
        <f t="shared" si="275"/>
        <v>0.24492431449019503</v>
      </c>
      <c r="AK303">
        <f t="shared" si="276"/>
        <v>1.9670958702428631E-2</v>
      </c>
      <c r="AL303">
        <f t="shared" si="277"/>
        <v>3.7784996471404875E-2</v>
      </c>
      <c r="AM303">
        <f t="shared" si="278"/>
        <v>-6.2075183304423076E-3</v>
      </c>
      <c r="AN303">
        <f t="shared" si="279"/>
        <v>0.12145960976384462</v>
      </c>
      <c r="AO303">
        <f t="shared" si="280"/>
        <v>8.5051603025482203E-3</v>
      </c>
      <c r="AP303">
        <f t="shared" si="281"/>
        <v>0.12050009316367383</v>
      </c>
    </row>
    <row r="304" spans="1:42" x14ac:dyDescent="0.25">
      <c r="A304">
        <v>1.66E-2</v>
      </c>
      <c r="B304">
        <v>0.81704287413164101</v>
      </c>
      <c r="C304">
        <v>0.76089341046076042</v>
      </c>
      <c r="D304">
        <v>0.56906740724148253</v>
      </c>
      <c r="E304">
        <v>0.81079534065750569</v>
      </c>
      <c r="F304">
        <v>0.78602616095629763</v>
      </c>
      <c r="G304">
        <v>0.84128516426877353</v>
      </c>
      <c r="H304">
        <v>0.69849631814988655</v>
      </c>
      <c r="I304">
        <v>0.81933451157138748</v>
      </c>
      <c r="J304">
        <v>0.70012649774150504</v>
      </c>
      <c r="M304">
        <f t="shared" si="257"/>
        <v>0.90852143706582056</v>
      </c>
      <c r="N304">
        <f t="shared" si="258"/>
        <v>0.88044670523038016</v>
      </c>
      <c r="O304">
        <f t="shared" si="259"/>
        <v>0.78453370362074126</v>
      </c>
      <c r="P304">
        <f t="shared" si="260"/>
        <v>0.90539767032875285</v>
      </c>
      <c r="Q304">
        <f t="shared" si="261"/>
        <v>0.89301308047814887</v>
      </c>
      <c r="R304">
        <f t="shared" si="262"/>
        <v>0.92064258213438677</v>
      </c>
      <c r="S304">
        <f t="shared" si="263"/>
        <v>0.84924815907494322</v>
      </c>
      <c r="T304">
        <f t="shared" si="264"/>
        <v>0.90966725578569374</v>
      </c>
      <c r="U304">
        <f t="shared" si="265"/>
        <v>0.85006324887075246</v>
      </c>
      <c r="X304">
        <f t="shared" si="266"/>
        <v>2.8074731835440403E-2</v>
      </c>
      <c r="Y304">
        <f t="shared" si="267"/>
        <v>0.1239877334450793</v>
      </c>
      <c r="Z304">
        <f t="shared" si="268"/>
        <v>3.1237667370677125E-3</v>
      </c>
      <c r="AA304">
        <f t="shared" si="269"/>
        <v>1.550835658767169E-2</v>
      </c>
      <c r="AB304">
        <f t="shared" si="270"/>
        <v>-1.2121145068566208E-2</v>
      </c>
      <c r="AC304">
        <f t="shared" si="271"/>
        <v>5.9273277990877338E-2</v>
      </c>
      <c r="AD304">
        <f t="shared" si="272"/>
        <v>-1.1458187198731817E-3</v>
      </c>
      <c r="AE304">
        <f t="shared" si="273"/>
        <v>5.8458188195068095E-2</v>
      </c>
      <c r="AI304">
        <f t="shared" si="274"/>
        <v>5.6149463670880584E-2</v>
      </c>
      <c r="AJ304">
        <f t="shared" si="275"/>
        <v>0.24797546689015848</v>
      </c>
      <c r="AK304">
        <f t="shared" si="276"/>
        <v>6.2475334741353139E-3</v>
      </c>
      <c r="AL304">
        <f t="shared" si="277"/>
        <v>3.101671317534338E-2</v>
      </c>
      <c r="AM304">
        <f t="shared" si="278"/>
        <v>-2.4242290137132527E-2</v>
      </c>
      <c r="AN304">
        <f t="shared" si="279"/>
        <v>0.11854655598175445</v>
      </c>
      <c r="AO304">
        <f t="shared" si="280"/>
        <v>-2.2916374397464745E-3</v>
      </c>
      <c r="AP304">
        <f t="shared" si="281"/>
        <v>0.11691637639013597</v>
      </c>
    </row>
    <row r="305" spans="1:42" x14ac:dyDescent="0.25">
      <c r="A305">
        <v>1.8200000000000001E-2</v>
      </c>
      <c r="B305">
        <v>0.82401804828732506</v>
      </c>
      <c r="C305">
        <v>0.77518075480999127</v>
      </c>
      <c r="D305">
        <v>0.57765974966931222</v>
      </c>
      <c r="E305">
        <v>0.82182704081528168</v>
      </c>
      <c r="F305">
        <v>0.79889628682049985</v>
      </c>
      <c r="G305">
        <v>0.85458415155166767</v>
      </c>
      <c r="H305">
        <v>0.71027795248052195</v>
      </c>
      <c r="I305">
        <v>0.83271362413068251</v>
      </c>
      <c r="J305">
        <v>0.71153798816049685</v>
      </c>
      <c r="M305">
        <f t="shared" si="257"/>
        <v>0.91200902414366247</v>
      </c>
      <c r="N305">
        <f t="shared" si="258"/>
        <v>0.88759037740499558</v>
      </c>
      <c r="O305">
        <f t="shared" si="259"/>
        <v>0.78882987483465605</v>
      </c>
      <c r="P305">
        <f t="shared" si="260"/>
        <v>0.91091352040764084</v>
      </c>
      <c r="Q305">
        <f t="shared" si="261"/>
        <v>0.89944814341024992</v>
      </c>
      <c r="R305">
        <f t="shared" si="262"/>
        <v>0.92729207577583384</v>
      </c>
      <c r="S305">
        <f t="shared" si="263"/>
        <v>0.85513897624026103</v>
      </c>
      <c r="T305">
        <f t="shared" si="264"/>
        <v>0.91635681206534125</v>
      </c>
      <c r="U305">
        <f t="shared" si="265"/>
        <v>0.85576899408024842</v>
      </c>
      <c r="X305">
        <f t="shared" si="266"/>
        <v>2.4418646738666894E-2</v>
      </c>
      <c r="Y305">
        <f t="shared" si="267"/>
        <v>0.12317914930900642</v>
      </c>
      <c r="Z305">
        <f t="shared" si="268"/>
        <v>1.0955037360216302E-3</v>
      </c>
      <c r="AA305">
        <f t="shared" si="269"/>
        <v>1.2560880733412549E-2</v>
      </c>
      <c r="AB305">
        <f t="shared" si="270"/>
        <v>-1.5283051632171363E-2</v>
      </c>
      <c r="AC305">
        <f t="shared" si="271"/>
        <v>5.6870047903401444E-2</v>
      </c>
      <c r="AD305">
        <f t="shared" si="272"/>
        <v>-4.3477879216787807E-3</v>
      </c>
      <c r="AE305">
        <f t="shared" si="273"/>
        <v>5.6240030063414048E-2</v>
      </c>
      <c r="AI305">
        <f t="shared" si="274"/>
        <v>4.8837293477333787E-2</v>
      </c>
      <c r="AJ305">
        <f t="shared" si="275"/>
        <v>0.24635829861801284</v>
      </c>
      <c r="AK305">
        <f t="shared" si="276"/>
        <v>2.1910074720433714E-3</v>
      </c>
      <c r="AL305">
        <f t="shared" si="277"/>
        <v>2.512176146682521E-2</v>
      </c>
      <c r="AM305">
        <f t="shared" si="278"/>
        <v>-3.0566103264342614E-2</v>
      </c>
      <c r="AN305">
        <f t="shared" si="279"/>
        <v>0.11374009580680311</v>
      </c>
      <c r="AO305">
        <f t="shared" si="280"/>
        <v>-8.6955758433574504E-3</v>
      </c>
      <c r="AP305">
        <f t="shared" si="281"/>
        <v>0.11248006012682821</v>
      </c>
    </row>
    <row r="306" spans="1:42" x14ac:dyDescent="0.25">
      <c r="A306">
        <v>1.9800000000000002E-2</v>
      </c>
      <c r="B306">
        <v>0.83713553531163654</v>
      </c>
      <c r="C306">
        <v>0.78636700790289737</v>
      </c>
      <c r="D306">
        <v>0.58336409829973301</v>
      </c>
      <c r="E306">
        <v>0.83561541868894973</v>
      </c>
      <c r="F306">
        <v>0.81528125542778151</v>
      </c>
      <c r="G306">
        <v>0.87094551617325811</v>
      </c>
      <c r="H306">
        <v>0.72218664564670476</v>
      </c>
      <c r="I306">
        <v>0.85099694532179837</v>
      </c>
      <c r="J306">
        <v>0.72076159857825572</v>
      </c>
      <c r="M306">
        <f t="shared" si="257"/>
        <v>0.91856776765581827</v>
      </c>
      <c r="N306">
        <f t="shared" si="258"/>
        <v>0.89318350395144863</v>
      </c>
      <c r="O306">
        <f t="shared" si="259"/>
        <v>0.79168204914986651</v>
      </c>
      <c r="P306">
        <f t="shared" si="260"/>
        <v>0.91780770934447486</v>
      </c>
      <c r="Q306">
        <f t="shared" si="261"/>
        <v>0.90764062771389076</v>
      </c>
      <c r="R306">
        <f t="shared" si="262"/>
        <v>0.93547275808662911</v>
      </c>
      <c r="S306">
        <f t="shared" si="263"/>
        <v>0.86109332282335238</v>
      </c>
      <c r="T306">
        <f t="shared" si="264"/>
        <v>0.92549847266089924</v>
      </c>
      <c r="U306">
        <f t="shared" si="265"/>
        <v>0.86038079928912792</v>
      </c>
      <c r="X306">
        <f t="shared" si="266"/>
        <v>2.5384263704369636E-2</v>
      </c>
      <c r="Y306">
        <f t="shared" si="267"/>
        <v>0.12688571850595176</v>
      </c>
      <c r="Z306">
        <f t="shared" si="268"/>
        <v>7.600583113434034E-4</v>
      </c>
      <c r="AA306">
        <f t="shared" si="269"/>
        <v>1.0927139941927511E-2</v>
      </c>
      <c r="AB306">
        <f t="shared" si="270"/>
        <v>-1.690499043081084E-2</v>
      </c>
      <c r="AC306">
        <f t="shared" si="271"/>
        <v>5.7474444832465887E-2</v>
      </c>
      <c r="AD306">
        <f t="shared" si="272"/>
        <v>-6.9307050050809726E-3</v>
      </c>
      <c r="AE306">
        <f t="shared" si="273"/>
        <v>5.818696836669035E-2</v>
      </c>
      <c r="AI306">
        <f t="shared" si="274"/>
        <v>5.0768527408739161E-2</v>
      </c>
      <c r="AJ306">
        <f t="shared" si="275"/>
        <v>0.25377143701190352</v>
      </c>
      <c r="AK306">
        <f t="shared" si="276"/>
        <v>1.5201166226868068E-3</v>
      </c>
      <c r="AL306">
        <f t="shared" si="277"/>
        <v>2.1854279883855021E-2</v>
      </c>
      <c r="AM306">
        <f t="shared" si="278"/>
        <v>-3.3809980861621569E-2</v>
      </c>
      <c r="AN306">
        <f t="shared" si="279"/>
        <v>0.11494888966493177</v>
      </c>
      <c r="AO306">
        <f t="shared" si="280"/>
        <v>-1.3861410010161834E-2</v>
      </c>
      <c r="AP306">
        <f t="shared" si="281"/>
        <v>0.11637393673338081</v>
      </c>
    </row>
    <row r="307" spans="1:42" x14ac:dyDescent="0.25">
      <c r="A307">
        <v>2.1399999999999999E-2</v>
      </c>
      <c r="B307">
        <v>0.83489207126409903</v>
      </c>
      <c r="C307">
        <v>0.79273821793044574</v>
      </c>
      <c r="D307">
        <v>0.58740271828543789</v>
      </c>
      <c r="E307">
        <v>0.84042566646988548</v>
      </c>
      <c r="F307">
        <v>0.82202253379471057</v>
      </c>
      <c r="G307">
        <v>0.87647487259372725</v>
      </c>
      <c r="H307">
        <v>0.7279365485194973</v>
      </c>
      <c r="I307">
        <v>0.85761296925123065</v>
      </c>
      <c r="J307">
        <v>0.72705243858205348</v>
      </c>
      <c r="M307">
        <f t="shared" si="257"/>
        <v>0.91744603563204952</v>
      </c>
      <c r="N307">
        <f t="shared" si="258"/>
        <v>0.89636910896522282</v>
      </c>
      <c r="O307">
        <f t="shared" si="259"/>
        <v>0.79370135914271889</v>
      </c>
      <c r="P307">
        <f t="shared" si="260"/>
        <v>0.92021283323494274</v>
      </c>
      <c r="Q307">
        <f t="shared" si="261"/>
        <v>0.91101126689735534</v>
      </c>
      <c r="R307">
        <f t="shared" si="262"/>
        <v>0.93823743629686362</v>
      </c>
      <c r="S307">
        <f t="shared" si="263"/>
        <v>0.86396827425974865</v>
      </c>
      <c r="T307">
        <f t="shared" si="264"/>
        <v>0.92880648462561533</v>
      </c>
      <c r="U307">
        <f t="shared" si="265"/>
        <v>0.86352621929102669</v>
      </c>
      <c r="X307">
        <f t="shared" si="266"/>
        <v>2.1076926666826701E-2</v>
      </c>
      <c r="Y307">
        <f t="shared" si="267"/>
        <v>0.12374467648933063</v>
      </c>
      <c r="Z307">
        <f t="shared" si="268"/>
        <v>-2.7667976028932229E-3</v>
      </c>
      <c r="AA307">
        <f t="shared" si="269"/>
        <v>6.434768734694174E-3</v>
      </c>
      <c r="AB307">
        <f t="shared" si="270"/>
        <v>-2.0791400664814108E-2</v>
      </c>
      <c r="AC307">
        <f t="shared" si="271"/>
        <v>5.3477761372300869E-2</v>
      </c>
      <c r="AD307">
        <f t="shared" si="272"/>
        <v>-1.1360448993565808E-2</v>
      </c>
      <c r="AE307">
        <f t="shared" si="273"/>
        <v>5.391981634102283E-2</v>
      </c>
      <c r="AF307">
        <f>COUNT(X298:X307)</f>
        <v>10</v>
      </c>
      <c r="AI307">
        <f t="shared" si="274"/>
        <v>4.2153853333653291E-2</v>
      </c>
      <c r="AJ307">
        <f t="shared" si="275"/>
        <v>0.24748935297866115</v>
      </c>
      <c r="AK307">
        <f t="shared" si="276"/>
        <v>-5.5335952057864457E-3</v>
      </c>
      <c r="AL307">
        <f t="shared" si="277"/>
        <v>1.2869537469388459E-2</v>
      </c>
      <c r="AM307">
        <f t="shared" si="278"/>
        <v>-4.1582801329628216E-2</v>
      </c>
      <c r="AN307">
        <f t="shared" si="279"/>
        <v>0.10695552274460174</v>
      </c>
      <c r="AO307">
        <f t="shared" si="280"/>
        <v>-2.2720897987131616E-2</v>
      </c>
      <c r="AP307">
        <f t="shared" si="281"/>
        <v>0.10783963268204555</v>
      </c>
    </row>
    <row r="308" spans="1:42" s="10" customFormat="1" x14ac:dyDescent="0.25">
      <c r="A308" s="10" t="s">
        <v>16</v>
      </c>
      <c r="M308" s="10">
        <f>AVERAGE(M298:M307)</f>
        <v>0.90843863563717642</v>
      </c>
      <c r="N308" s="10">
        <f t="shared" ref="N308" si="314">AVERAGE(N298:N307)</f>
        <v>0.88532466207210958</v>
      </c>
      <c r="O308" s="10">
        <f t="shared" ref="O308" si="315">AVERAGE(O298:O307)</f>
        <v>0.79320307959597647</v>
      </c>
      <c r="P308" s="10">
        <f t="shared" ref="P308" si="316">AVERAGE(P298:P307)</f>
        <v>0.90213557691488933</v>
      </c>
      <c r="Q308" s="10">
        <f t="shared" ref="Q308" si="317">AVERAGE(Q298:Q307)</f>
        <v>0.90008332642010824</v>
      </c>
      <c r="R308" s="10">
        <f t="shared" ref="R308" si="318">AVERAGE(R298:R307)</f>
        <v>0.91427470874976924</v>
      </c>
      <c r="S308" s="10">
        <f t="shared" ref="S308" si="319">AVERAGE(S298:S307)</f>
        <v>0.85874325597241508</v>
      </c>
      <c r="T308" s="10">
        <f t="shared" ref="T308" si="320">AVERAGE(T298:T307)</f>
        <v>0.91242892559551048</v>
      </c>
      <c r="U308" s="10">
        <f t="shared" ref="U308" si="321">AVERAGE(U298:U307)</f>
        <v>0.8570920010873323</v>
      </c>
      <c r="X308" s="10">
        <f>((M308-N308)/N308)*100</f>
        <v>2.6107906574033972</v>
      </c>
      <c r="Y308" s="10">
        <f>((M308-O308)/O308)*100</f>
        <v>14.527875522104122</v>
      </c>
      <c r="Z308" s="10">
        <f>((M308-P308)/P308)*100</f>
        <v>0.69868198124301939</v>
      </c>
      <c r="AA308" s="10">
        <f>((M308-Q308)/Q308)*100</f>
        <v>0.92828174590231061</v>
      </c>
      <c r="AB308" s="10">
        <f>((M308-R308)/R308)*100</f>
        <v>-0.63832818044079953</v>
      </c>
      <c r="AC308" s="10">
        <f>((M308-S308)/S308)*100</f>
        <v>5.7869892216489998</v>
      </c>
      <c r="AD308" s="10">
        <f>((M308-T308)/T308)*100</f>
        <v>-0.43732611345368477</v>
      </c>
      <c r="AE308" s="10">
        <f>((M308-U308)/U308)*100</f>
        <v>5.990796143786695</v>
      </c>
      <c r="AI308" s="10">
        <f t="shared" si="274"/>
        <v>0</v>
      </c>
      <c r="AJ308" s="10">
        <f t="shared" si="275"/>
        <v>0</v>
      </c>
      <c r="AK308" s="10">
        <f t="shared" si="276"/>
        <v>0</v>
      </c>
      <c r="AL308" s="10">
        <f t="shared" si="277"/>
        <v>0</v>
      </c>
      <c r="AM308" s="10">
        <f t="shared" si="278"/>
        <v>0</v>
      </c>
      <c r="AN308" s="10">
        <f t="shared" si="279"/>
        <v>0</v>
      </c>
      <c r="AO308" s="10">
        <f t="shared" si="280"/>
        <v>0</v>
      </c>
      <c r="AP308" s="10">
        <f t="shared" si="281"/>
        <v>0</v>
      </c>
    </row>
    <row r="309" spans="1:42" x14ac:dyDescent="0.25">
      <c r="A309">
        <v>2.92E-2</v>
      </c>
      <c r="B309">
        <v>0.76547350326295149</v>
      </c>
      <c r="C309">
        <v>0.73305949269530013</v>
      </c>
      <c r="D309">
        <v>0.58107728682519733</v>
      </c>
      <c r="E309">
        <v>0.63332963136522968</v>
      </c>
      <c r="F309">
        <v>0.75625121359242398</v>
      </c>
      <c r="G309">
        <v>0.63005452420851427</v>
      </c>
      <c r="H309">
        <v>0.62975080370073733</v>
      </c>
      <c r="I309">
        <v>0.7141669110448019</v>
      </c>
      <c r="J309">
        <v>0.6993332882981792</v>
      </c>
      <c r="M309">
        <f t="shared" si="257"/>
        <v>0.88273675163147569</v>
      </c>
      <c r="N309">
        <f t="shared" si="258"/>
        <v>0.86652974634765001</v>
      </c>
      <c r="O309">
        <f t="shared" si="259"/>
        <v>0.79053864341259872</v>
      </c>
      <c r="P309">
        <f t="shared" si="260"/>
        <v>0.81666481568261484</v>
      </c>
      <c r="Q309">
        <f t="shared" si="261"/>
        <v>0.87812560679621199</v>
      </c>
      <c r="R309">
        <f t="shared" si="262"/>
        <v>0.81502726210425713</v>
      </c>
      <c r="S309">
        <f t="shared" si="263"/>
        <v>0.81487540185036866</v>
      </c>
      <c r="T309">
        <f t="shared" si="264"/>
        <v>0.85708345552240095</v>
      </c>
      <c r="U309">
        <f t="shared" si="265"/>
        <v>0.84966664414908966</v>
      </c>
      <c r="X309">
        <f t="shared" si="266"/>
        <v>1.6207005283825682E-2</v>
      </c>
      <c r="Y309">
        <f t="shared" si="267"/>
        <v>9.2198108218876973E-2</v>
      </c>
      <c r="Z309">
        <f t="shared" si="268"/>
        <v>6.6071935948860849E-2</v>
      </c>
      <c r="AA309">
        <f t="shared" si="269"/>
        <v>4.611144835263703E-3</v>
      </c>
      <c r="AB309">
        <f t="shared" si="270"/>
        <v>6.7709489527218558E-2</v>
      </c>
      <c r="AC309">
        <f t="shared" si="271"/>
        <v>6.7861349781107028E-2</v>
      </c>
      <c r="AD309">
        <f t="shared" si="272"/>
        <v>2.5653296109074741E-2</v>
      </c>
      <c r="AE309">
        <f t="shared" si="273"/>
        <v>3.3070107482386035E-2</v>
      </c>
      <c r="AI309">
        <f t="shared" si="274"/>
        <v>3.2414010567651363E-2</v>
      </c>
      <c r="AJ309">
        <f t="shared" si="275"/>
        <v>0.18439621643775417</v>
      </c>
      <c r="AK309">
        <f t="shared" si="276"/>
        <v>0.13214387189772181</v>
      </c>
      <c r="AL309">
        <f t="shared" si="277"/>
        <v>9.222289670527517E-3</v>
      </c>
      <c r="AM309">
        <f t="shared" si="278"/>
        <v>0.13541897905443723</v>
      </c>
      <c r="AN309">
        <f t="shared" si="279"/>
        <v>0.13572269956221417</v>
      </c>
      <c r="AO309">
        <f t="shared" si="280"/>
        <v>5.1306592218149594E-2</v>
      </c>
      <c r="AP309">
        <f t="shared" si="281"/>
        <v>6.6140214964772293E-2</v>
      </c>
    </row>
    <row r="310" spans="1:42" x14ac:dyDescent="0.25">
      <c r="A310">
        <v>3.5700000000000003E-2</v>
      </c>
      <c r="B310">
        <v>0.78336393176093944</v>
      </c>
      <c r="C310">
        <v>0.7306012088815782</v>
      </c>
      <c r="D310">
        <v>0.56528249856173085</v>
      </c>
      <c r="E310">
        <v>0.6563792678197875</v>
      </c>
      <c r="F310">
        <v>0.74585842403469838</v>
      </c>
      <c r="G310">
        <v>0.661483843158572</v>
      </c>
      <c r="H310">
        <v>0.61037057819679419</v>
      </c>
      <c r="I310">
        <v>0.72618091483460367</v>
      </c>
      <c r="J310">
        <v>0.68915111622713232</v>
      </c>
      <c r="M310">
        <f t="shared" ref="M310:M329" si="322">(B310+1)/2</f>
        <v>0.89168196588046977</v>
      </c>
      <c r="N310">
        <f t="shared" ref="N310:N329" si="323">(C310+1)/2</f>
        <v>0.86530060444078916</v>
      </c>
      <c r="O310">
        <f t="shared" ref="O310:O329" si="324">(D310+1)/2</f>
        <v>0.78264124928086543</v>
      </c>
      <c r="P310">
        <f t="shared" ref="P310:P329" si="325">(E310+1)/2</f>
        <v>0.82818963390989375</v>
      </c>
      <c r="Q310">
        <f t="shared" ref="Q310:Q329" si="326">(F310+1)/2</f>
        <v>0.87292921201734919</v>
      </c>
      <c r="R310">
        <f t="shared" ref="R310:R329" si="327">(G310+1)/2</f>
        <v>0.83074192157928595</v>
      </c>
      <c r="S310">
        <f t="shared" ref="S310:S329" si="328">(H310+1)/2</f>
        <v>0.80518528909839704</v>
      </c>
      <c r="T310">
        <f t="shared" ref="T310:T329" si="329">(I310+1)/2</f>
        <v>0.86309045741730184</v>
      </c>
      <c r="U310">
        <f t="shared" ref="U310:U329" si="330">(J310+1)/2</f>
        <v>0.8445755581135661</v>
      </c>
      <c r="X310">
        <f t="shared" si="266"/>
        <v>2.6381361439680617E-2</v>
      </c>
      <c r="Y310">
        <f t="shared" si="267"/>
        <v>0.10904071659960435</v>
      </c>
      <c r="Z310">
        <f t="shared" si="268"/>
        <v>6.3492331970576021E-2</v>
      </c>
      <c r="AA310">
        <f t="shared" si="269"/>
        <v>1.8752753863120586E-2</v>
      </c>
      <c r="AB310">
        <f t="shared" si="270"/>
        <v>6.0940044301183827E-2</v>
      </c>
      <c r="AC310">
        <f t="shared" si="271"/>
        <v>8.6496676782072734E-2</v>
      </c>
      <c r="AD310">
        <f t="shared" si="272"/>
        <v>2.8591508463167936E-2</v>
      </c>
      <c r="AE310">
        <f t="shared" si="273"/>
        <v>4.7106407766903668E-2</v>
      </c>
      <c r="AI310">
        <f t="shared" si="274"/>
        <v>5.2762722879361235E-2</v>
      </c>
      <c r="AJ310">
        <f t="shared" si="275"/>
        <v>0.21808143319920859</v>
      </c>
      <c r="AK310">
        <f t="shared" si="276"/>
        <v>0.12698466394115193</v>
      </c>
      <c r="AL310">
        <f t="shared" si="277"/>
        <v>3.7505507726241061E-2</v>
      </c>
      <c r="AM310">
        <f t="shared" si="278"/>
        <v>0.12188008860236743</v>
      </c>
      <c r="AN310">
        <f t="shared" si="279"/>
        <v>0.17299335356414525</v>
      </c>
      <c r="AO310">
        <f t="shared" si="280"/>
        <v>5.7183016926335761E-2</v>
      </c>
      <c r="AP310">
        <f t="shared" si="281"/>
        <v>9.4212815533807115E-2</v>
      </c>
    </row>
    <row r="311" spans="1:42" x14ac:dyDescent="0.25">
      <c r="A311">
        <v>4.2200000000000001E-2</v>
      </c>
      <c r="B311">
        <v>0.78527238663466969</v>
      </c>
      <c r="C311">
        <v>0.72688671495482593</v>
      </c>
      <c r="D311">
        <v>0.54403489758347001</v>
      </c>
      <c r="E311">
        <v>0.67492705274994236</v>
      </c>
      <c r="F311">
        <v>0.72069651053955752</v>
      </c>
      <c r="G311">
        <v>0.68492380630827454</v>
      </c>
      <c r="H311">
        <v>0.58126170790081666</v>
      </c>
      <c r="I311">
        <v>0.72977840835998198</v>
      </c>
      <c r="J311">
        <v>0.67218988582551376</v>
      </c>
      <c r="M311">
        <f t="shared" si="322"/>
        <v>0.89263619331733479</v>
      </c>
      <c r="N311">
        <f t="shared" si="323"/>
        <v>0.86344335747741296</v>
      </c>
      <c r="O311">
        <f t="shared" si="324"/>
        <v>0.77201744879173506</v>
      </c>
      <c r="P311">
        <f t="shared" si="325"/>
        <v>0.83746352637497123</v>
      </c>
      <c r="Q311">
        <f t="shared" si="326"/>
        <v>0.86034825526977876</v>
      </c>
      <c r="R311">
        <f t="shared" si="327"/>
        <v>0.84246190315413727</v>
      </c>
      <c r="S311">
        <f t="shared" si="328"/>
        <v>0.79063085395040833</v>
      </c>
      <c r="T311">
        <f t="shared" si="329"/>
        <v>0.86488920417999093</v>
      </c>
      <c r="U311">
        <f t="shared" si="330"/>
        <v>0.83609494291275688</v>
      </c>
      <c r="X311">
        <f t="shared" si="266"/>
        <v>2.9192835839921827E-2</v>
      </c>
      <c r="Y311">
        <f t="shared" si="267"/>
        <v>0.12061874452559973</v>
      </c>
      <c r="Z311">
        <f t="shared" si="268"/>
        <v>5.5172666942363557E-2</v>
      </c>
      <c r="AA311">
        <f t="shared" si="269"/>
        <v>3.2287938047556031E-2</v>
      </c>
      <c r="AB311">
        <f t="shared" si="270"/>
        <v>5.0174290163197521E-2</v>
      </c>
      <c r="AC311">
        <f t="shared" si="271"/>
        <v>0.10200533936692646</v>
      </c>
      <c r="AD311">
        <f t="shared" si="272"/>
        <v>2.7746989137343858E-2</v>
      </c>
      <c r="AE311">
        <f t="shared" si="273"/>
        <v>5.6541250404577914E-2</v>
      </c>
      <c r="AI311">
        <f t="shared" si="274"/>
        <v>5.8385671679843765E-2</v>
      </c>
      <c r="AJ311">
        <f t="shared" si="275"/>
        <v>0.24123748905119968</v>
      </c>
      <c r="AK311">
        <f t="shared" si="276"/>
        <v>0.11034533388472734</v>
      </c>
      <c r="AL311">
        <f t="shared" si="277"/>
        <v>6.4575876095112172E-2</v>
      </c>
      <c r="AM311">
        <f t="shared" si="278"/>
        <v>0.10034858032639515</v>
      </c>
      <c r="AN311">
        <f t="shared" si="279"/>
        <v>0.20401067873385303</v>
      </c>
      <c r="AO311">
        <f t="shared" si="280"/>
        <v>5.5493978274687716E-2</v>
      </c>
      <c r="AP311">
        <f t="shared" si="281"/>
        <v>0.11308250080915594</v>
      </c>
    </row>
    <row r="312" spans="1:42" x14ac:dyDescent="0.25">
      <c r="A312">
        <v>4.8599999999999997E-2</v>
      </c>
      <c r="B312">
        <v>0.78981592828890201</v>
      </c>
      <c r="C312">
        <v>0.71990545757177682</v>
      </c>
      <c r="D312">
        <v>0.52085924561562236</v>
      </c>
      <c r="E312">
        <v>0.69163359024285453</v>
      </c>
      <c r="F312">
        <v>0.69960153992150143</v>
      </c>
      <c r="G312">
        <v>0.70898925280750902</v>
      </c>
      <c r="H312">
        <v>0.55400663216595503</v>
      </c>
      <c r="I312">
        <v>0.73132310688989588</v>
      </c>
      <c r="J312">
        <v>0.65366397151368039</v>
      </c>
      <c r="M312">
        <f t="shared" si="322"/>
        <v>0.89490796414445106</v>
      </c>
      <c r="N312">
        <f t="shared" si="323"/>
        <v>0.85995272878588835</v>
      </c>
      <c r="O312">
        <f t="shared" si="324"/>
        <v>0.76042962280781112</v>
      </c>
      <c r="P312">
        <f t="shared" si="325"/>
        <v>0.84581679512142727</v>
      </c>
      <c r="Q312">
        <f t="shared" si="326"/>
        <v>0.84980076996075071</v>
      </c>
      <c r="R312">
        <f t="shared" si="327"/>
        <v>0.85449462640375451</v>
      </c>
      <c r="S312">
        <f t="shared" si="328"/>
        <v>0.77700331608297746</v>
      </c>
      <c r="T312">
        <f t="shared" si="329"/>
        <v>0.86566155344494788</v>
      </c>
      <c r="U312">
        <f t="shared" si="330"/>
        <v>0.82683198575684025</v>
      </c>
      <c r="X312">
        <f t="shared" si="266"/>
        <v>3.4955235358562708E-2</v>
      </c>
      <c r="Y312">
        <f t="shared" si="267"/>
        <v>0.13447834133663994</v>
      </c>
      <c r="Z312">
        <f t="shared" si="268"/>
        <v>4.9091169023023795E-2</v>
      </c>
      <c r="AA312">
        <f t="shared" si="269"/>
        <v>4.510719418370035E-2</v>
      </c>
      <c r="AB312">
        <f t="shared" si="270"/>
        <v>4.0413337740696553E-2</v>
      </c>
      <c r="AC312">
        <f t="shared" si="271"/>
        <v>0.1179046480614736</v>
      </c>
      <c r="AD312">
        <f t="shared" si="272"/>
        <v>2.9246410699503178E-2</v>
      </c>
      <c r="AE312">
        <f t="shared" si="273"/>
        <v>6.8075978387610814E-2</v>
      </c>
      <c r="AI312">
        <f t="shared" si="274"/>
        <v>6.9910470717125195E-2</v>
      </c>
      <c r="AJ312">
        <f t="shared" si="275"/>
        <v>0.26895668267327966</v>
      </c>
      <c r="AK312">
        <f t="shared" si="276"/>
        <v>9.8182338046047479E-2</v>
      </c>
      <c r="AL312">
        <f t="shared" si="277"/>
        <v>9.0214388367400589E-2</v>
      </c>
      <c r="AM312">
        <f t="shared" si="278"/>
        <v>8.0826675481392996E-2</v>
      </c>
      <c r="AN312">
        <f t="shared" si="279"/>
        <v>0.23580929612294699</v>
      </c>
      <c r="AO312">
        <f t="shared" si="280"/>
        <v>5.8492821399006134E-2</v>
      </c>
      <c r="AP312">
        <f t="shared" si="281"/>
        <v>0.13615195677522163</v>
      </c>
    </row>
    <row r="313" spans="1:42" x14ac:dyDescent="0.25">
      <c r="A313">
        <v>5.5100000000000003E-2</v>
      </c>
      <c r="B313">
        <v>0.79136198379563671</v>
      </c>
      <c r="C313">
        <v>0.71401219140950811</v>
      </c>
      <c r="D313">
        <v>0.50665484396852256</v>
      </c>
      <c r="E313">
        <v>0.70727810626050136</v>
      </c>
      <c r="F313">
        <v>0.68325330429760678</v>
      </c>
      <c r="G313">
        <v>0.72662005696377707</v>
      </c>
      <c r="H313">
        <v>0.5345144991696017</v>
      </c>
      <c r="I313">
        <v>0.72887417550923994</v>
      </c>
      <c r="J313">
        <v>0.64077301057522229</v>
      </c>
      <c r="M313">
        <f t="shared" si="322"/>
        <v>0.89568099189781836</v>
      </c>
      <c r="N313">
        <f t="shared" si="323"/>
        <v>0.85700609570475406</v>
      </c>
      <c r="O313">
        <f t="shared" si="324"/>
        <v>0.75332742198426128</v>
      </c>
      <c r="P313">
        <f t="shared" si="325"/>
        <v>0.85363905313025068</v>
      </c>
      <c r="Q313">
        <f t="shared" si="326"/>
        <v>0.84162665214880339</v>
      </c>
      <c r="R313">
        <f t="shared" si="327"/>
        <v>0.86331002848188854</v>
      </c>
      <c r="S313">
        <f t="shared" si="328"/>
        <v>0.7672572495848009</v>
      </c>
      <c r="T313">
        <f t="shared" si="329"/>
        <v>0.86443708775461992</v>
      </c>
      <c r="U313">
        <f t="shared" si="330"/>
        <v>0.82038650528761115</v>
      </c>
      <c r="X313">
        <f t="shared" si="266"/>
        <v>3.8674896193064301E-2</v>
      </c>
      <c r="Y313">
        <f t="shared" si="267"/>
        <v>0.14235356991355708</v>
      </c>
      <c r="Z313">
        <f t="shared" si="268"/>
        <v>4.2041938767567677E-2</v>
      </c>
      <c r="AA313">
        <f t="shared" si="269"/>
        <v>5.4054339749014968E-2</v>
      </c>
      <c r="AB313">
        <f t="shared" si="270"/>
        <v>3.2370963415929821E-2</v>
      </c>
      <c r="AC313">
        <f t="shared" si="271"/>
        <v>0.12842374231301745</v>
      </c>
      <c r="AD313">
        <f t="shared" si="272"/>
        <v>3.1243904143198442E-2</v>
      </c>
      <c r="AE313">
        <f t="shared" si="273"/>
        <v>7.5294486610207212E-2</v>
      </c>
      <c r="AI313">
        <f t="shared" si="274"/>
        <v>7.7349792386128602E-2</v>
      </c>
      <c r="AJ313">
        <f t="shared" si="275"/>
        <v>0.28470713982711415</v>
      </c>
      <c r="AK313">
        <f t="shared" si="276"/>
        <v>8.4083877535135354E-2</v>
      </c>
      <c r="AL313">
        <f t="shared" si="277"/>
        <v>0.10810867949802994</v>
      </c>
      <c r="AM313">
        <f t="shared" si="278"/>
        <v>6.4741926831859642E-2</v>
      </c>
      <c r="AN313">
        <f t="shared" si="279"/>
        <v>0.25684748462603502</v>
      </c>
      <c r="AO313">
        <f t="shared" si="280"/>
        <v>6.2487808286396773E-2</v>
      </c>
      <c r="AP313">
        <f t="shared" si="281"/>
        <v>0.15058897322041442</v>
      </c>
    </row>
    <row r="314" spans="1:42" x14ac:dyDescent="0.25">
      <c r="A314">
        <v>6.1600000000000002E-2</v>
      </c>
      <c r="B314">
        <v>0.78434196313366833</v>
      </c>
      <c r="C314">
        <v>0.71164468142190351</v>
      </c>
      <c r="D314">
        <v>0.49356723497680011</v>
      </c>
      <c r="E314">
        <v>0.71675310481262655</v>
      </c>
      <c r="F314">
        <v>0.67418627913254126</v>
      </c>
      <c r="G314">
        <v>0.74367590354467783</v>
      </c>
      <c r="H314">
        <v>0.52120544142779002</v>
      </c>
      <c r="I314">
        <v>0.7214110848363523</v>
      </c>
      <c r="J314">
        <v>0.63013612611054615</v>
      </c>
      <c r="M314">
        <f t="shared" si="322"/>
        <v>0.89217098156683416</v>
      </c>
      <c r="N314">
        <f t="shared" si="323"/>
        <v>0.85582234071095176</v>
      </c>
      <c r="O314">
        <f t="shared" si="324"/>
        <v>0.74678361748840005</v>
      </c>
      <c r="P314">
        <f t="shared" si="325"/>
        <v>0.85837655240631328</v>
      </c>
      <c r="Q314">
        <f t="shared" si="326"/>
        <v>0.83709313956627063</v>
      </c>
      <c r="R314">
        <f t="shared" si="327"/>
        <v>0.87183795177233891</v>
      </c>
      <c r="S314">
        <f t="shared" si="328"/>
        <v>0.76060272071389501</v>
      </c>
      <c r="T314">
        <f t="shared" si="329"/>
        <v>0.86070554241817621</v>
      </c>
      <c r="U314">
        <f t="shared" si="330"/>
        <v>0.81506806305527313</v>
      </c>
      <c r="X314">
        <f t="shared" si="266"/>
        <v>3.6348640855882408E-2</v>
      </c>
      <c r="Y314">
        <f t="shared" si="267"/>
        <v>0.14538736407843411</v>
      </c>
      <c r="Z314">
        <f t="shared" si="268"/>
        <v>3.3794429160520889E-2</v>
      </c>
      <c r="AA314">
        <f t="shared" si="269"/>
        <v>5.5077842000563537E-2</v>
      </c>
      <c r="AB314">
        <f t="shared" si="270"/>
        <v>2.033302979449525E-2</v>
      </c>
      <c r="AC314">
        <f t="shared" si="271"/>
        <v>0.13156826085293916</v>
      </c>
      <c r="AD314">
        <f t="shared" si="272"/>
        <v>3.1465439148657959E-2</v>
      </c>
      <c r="AE314">
        <f t="shared" si="273"/>
        <v>7.7102918511561036E-2</v>
      </c>
      <c r="AI314">
        <f t="shared" si="274"/>
        <v>7.2697281711764816E-2</v>
      </c>
      <c r="AJ314">
        <f t="shared" si="275"/>
        <v>0.29077472815686822</v>
      </c>
      <c r="AK314">
        <f t="shared" si="276"/>
        <v>6.7588858321041778E-2</v>
      </c>
      <c r="AL314">
        <f t="shared" si="277"/>
        <v>0.11015568400112707</v>
      </c>
      <c r="AM314">
        <f t="shared" si="278"/>
        <v>4.06660595889905E-2</v>
      </c>
      <c r="AN314">
        <f t="shared" si="279"/>
        <v>0.26313652170587831</v>
      </c>
      <c r="AO314">
        <f t="shared" si="280"/>
        <v>6.2930878297316029E-2</v>
      </c>
      <c r="AP314">
        <f t="shared" si="281"/>
        <v>0.15420583702312218</v>
      </c>
    </row>
    <row r="315" spans="1:42" x14ac:dyDescent="0.25">
      <c r="A315">
        <v>6.8099999999999994E-2</v>
      </c>
      <c r="B315">
        <v>0.76923547509394175</v>
      </c>
      <c r="C315">
        <v>0.71196426937322732</v>
      </c>
      <c r="D315">
        <v>0.48167203423755861</v>
      </c>
      <c r="E315">
        <v>0.73065126130401159</v>
      </c>
      <c r="F315">
        <v>0.65963718541870375</v>
      </c>
      <c r="G315">
        <v>0.76333165893531429</v>
      </c>
      <c r="H315">
        <v>0.50341985116147803</v>
      </c>
      <c r="I315">
        <v>0.71645706154438638</v>
      </c>
      <c r="J315">
        <v>0.62148614778083977</v>
      </c>
      <c r="M315">
        <f t="shared" si="322"/>
        <v>0.88461773754697082</v>
      </c>
      <c r="N315">
        <f t="shared" si="323"/>
        <v>0.85598213468661366</v>
      </c>
      <c r="O315">
        <f t="shared" si="324"/>
        <v>0.74083601711877933</v>
      </c>
      <c r="P315">
        <f t="shared" si="325"/>
        <v>0.86532563065200585</v>
      </c>
      <c r="Q315">
        <f t="shared" si="326"/>
        <v>0.82981859270935188</v>
      </c>
      <c r="R315">
        <f t="shared" si="327"/>
        <v>0.88166582946765715</v>
      </c>
      <c r="S315">
        <f t="shared" si="328"/>
        <v>0.75170992558073901</v>
      </c>
      <c r="T315">
        <f t="shared" si="329"/>
        <v>0.85822853077219319</v>
      </c>
      <c r="U315">
        <f t="shared" si="330"/>
        <v>0.81074307389041989</v>
      </c>
      <c r="X315">
        <f t="shared" si="266"/>
        <v>2.8635602860357157E-2</v>
      </c>
      <c r="Y315">
        <f t="shared" si="267"/>
        <v>0.14378172042819148</v>
      </c>
      <c r="Z315">
        <f t="shared" si="268"/>
        <v>1.9292106894964967E-2</v>
      </c>
      <c r="AA315">
        <f t="shared" si="269"/>
        <v>5.4799144837618941E-2</v>
      </c>
      <c r="AB315">
        <f t="shared" si="270"/>
        <v>2.9519080793136698E-3</v>
      </c>
      <c r="AC315">
        <f t="shared" si="271"/>
        <v>0.1329078119662318</v>
      </c>
      <c r="AD315">
        <f t="shared" si="272"/>
        <v>2.6389206774777629E-2</v>
      </c>
      <c r="AE315">
        <f t="shared" si="273"/>
        <v>7.3874663656550932E-2</v>
      </c>
      <c r="AI315">
        <f t="shared" si="274"/>
        <v>5.7271205720714424E-2</v>
      </c>
      <c r="AJ315">
        <f t="shared" si="275"/>
        <v>0.28756344085638313</v>
      </c>
      <c r="AK315">
        <f t="shared" si="276"/>
        <v>3.8584213789930155E-2</v>
      </c>
      <c r="AL315">
        <f t="shared" si="277"/>
        <v>0.10959828967523799</v>
      </c>
      <c r="AM315">
        <f t="shared" si="278"/>
        <v>5.9038161586274507E-3</v>
      </c>
      <c r="AN315">
        <f t="shared" si="279"/>
        <v>0.26581562393246372</v>
      </c>
      <c r="AO315">
        <f t="shared" si="280"/>
        <v>5.277841354955537E-2</v>
      </c>
      <c r="AP315">
        <f t="shared" si="281"/>
        <v>0.14774932731310197</v>
      </c>
    </row>
    <row r="316" spans="1:42" x14ac:dyDescent="0.25">
      <c r="A316">
        <v>7.46E-2</v>
      </c>
      <c r="B316">
        <v>0.77040425966701831</v>
      </c>
      <c r="C316">
        <v>0.72097051903866793</v>
      </c>
      <c r="D316">
        <v>0.48815317343347531</v>
      </c>
      <c r="E316">
        <v>0.74574391080642033</v>
      </c>
      <c r="F316">
        <v>0.66024262816922941</v>
      </c>
      <c r="G316">
        <v>0.78353574349364097</v>
      </c>
      <c r="H316">
        <v>0.50382610334049804</v>
      </c>
      <c r="I316">
        <v>0.72486842057769074</v>
      </c>
      <c r="J316">
        <v>0.62909807584379984</v>
      </c>
      <c r="M316">
        <f t="shared" si="322"/>
        <v>0.8852021298335091</v>
      </c>
      <c r="N316">
        <f t="shared" si="323"/>
        <v>0.86048525951933397</v>
      </c>
      <c r="O316">
        <f t="shared" si="324"/>
        <v>0.7440765867167376</v>
      </c>
      <c r="P316">
        <f t="shared" si="325"/>
        <v>0.87287195540321016</v>
      </c>
      <c r="Q316">
        <f t="shared" si="326"/>
        <v>0.83012131408461465</v>
      </c>
      <c r="R316">
        <f t="shared" si="327"/>
        <v>0.89176787174682048</v>
      </c>
      <c r="S316">
        <f t="shared" si="328"/>
        <v>0.75191305167024902</v>
      </c>
      <c r="T316">
        <f t="shared" si="329"/>
        <v>0.86243421028884537</v>
      </c>
      <c r="U316">
        <f t="shared" si="330"/>
        <v>0.81454903792189992</v>
      </c>
      <c r="X316">
        <f t="shared" si="266"/>
        <v>2.4716870314175132E-2</v>
      </c>
      <c r="Y316">
        <f t="shared" si="267"/>
        <v>0.1411255431167715</v>
      </c>
      <c r="Z316">
        <f t="shared" si="268"/>
        <v>1.2330174430298935E-2</v>
      </c>
      <c r="AA316">
        <f t="shared" si="269"/>
        <v>5.5080815748894452E-2</v>
      </c>
      <c r="AB316">
        <f t="shared" si="270"/>
        <v>-6.5657419133113848E-3</v>
      </c>
      <c r="AC316">
        <f t="shared" si="271"/>
        <v>0.13328907816326008</v>
      </c>
      <c r="AD316">
        <f t="shared" si="272"/>
        <v>2.2767919544663728E-2</v>
      </c>
      <c r="AE316">
        <f t="shared" si="273"/>
        <v>7.0653091911609178E-2</v>
      </c>
      <c r="AI316">
        <f t="shared" si="274"/>
        <v>4.9433740628350376E-2</v>
      </c>
      <c r="AJ316">
        <f t="shared" si="275"/>
        <v>0.282251086233543</v>
      </c>
      <c r="AK316">
        <f t="shared" si="276"/>
        <v>2.466034886059798E-2</v>
      </c>
      <c r="AL316">
        <f t="shared" si="277"/>
        <v>0.1101616314977889</v>
      </c>
      <c r="AM316">
        <f t="shared" si="278"/>
        <v>-1.3131483826622659E-2</v>
      </c>
      <c r="AN316">
        <f t="shared" si="279"/>
        <v>0.26657815632652027</v>
      </c>
      <c r="AO316">
        <f t="shared" si="280"/>
        <v>4.5535839089327568E-2</v>
      </c>
      <c r="AP316">
        <f t="shared" si="281"/>
        <v>0.14130618382321847</v>
      </c>
    </row>
    <row r="317" spans="1:42" x14ac:dyDescent="0.25">
      <c r="A317">
        <v>8.1100000000000005E-2</v>
      </c>
      <c r="B317">
        <v>0.75790613701435838</v>
      </c>
      <c r="C317">
        <v>0.72012901308144794</v>
      </c>
      <c r="D317">
        <v>0.4796908336048874</v>
      </c>
      <c r="E317">
        <v>0.73453974426299506</v>
      </c>
      <c r="F317">
        <v>0.66197613037891534</v>
      </c>
      <c r="G317">
        <v>0.77907196810430823</v>
      </c>
      <c r="H317">
        <v>0.50347264255006763</v>
      </c>
      <c r="I317">
        <v>0.71605212097256576</v>
      </c>
      <c r="J317">
        <v>0.62331487028644195</v>
      </c>
      <c r="M317">
        <f t="shared" si="322"/>
        <v>0.87895306850717914</v>
      </c>
      <c r="N317">
        <f t="shared" si="323"/>
        <v>0.86006450654072397</v>
      </c>
      <c r="O317">
        <f t="shared" si="324"/>
        <v>0.73984541680244376</v>
      </c>
      <c r="P317">
        <f t="shared" si="325"/>
        <v>0.86726987213149753</v>
      </c>
      <c r="Q317">
        <f t="shared" si="326"/>
        <v>0.83098806518945767</v>
      </c>
      <c r="R317">
        <f t="shared" si="327"/>
        <v>0.88953598405215417</v>
      </c>
      <c r="S317">
        <f t="shared" si="328"/>
        <v>0.75173632127503387</v>
      </c>
      <c r="T317">
        <f t="shared" si="329"/>
        <v>0.85802606048628283</v>
      </c>
      <c r="U317">
        <f t="shared" si="330"/>
        <v>0.81165743514322097</v>
      </c>
      <c r="X317">
        <f t="shared" si="266"/>
        <v>1.8888561966455164E-2</v>
      </c>
      <c r="Y317">
        <f t="shared" si="267"/>
        <v>0.13910765170473538</v>
      </c>
      <c r="Z317">
        <f t="shared" si="268"/>
        <v>1.1683196375681604E-2</v>
      </c>
      <c r="AA317">
        <f t="shared" si="269"/>
        <v>4.7965003317721466E-2</v>
      </c>
      <c r="AB317">
        <f t="shared" si="270"/>
        <v>-1.0582915544975036E-2</v>
      </c>
      <c r="AC317">
        <f t="shared" si="271"/>
        <v>0.12721674723214527</v>
      </c>
      <c r="AD317">
        <f t="shared" si="272"/>
        <v>2.0927008020896309E-2</v>
      </c>
      <c r="AE317">
        <f t="shared" si="273"/>
        <v>6.7295633363958163E-2</v>
      </c>
      <c r="AI317">
        <f t="shared" si="274"/>
        <v>3.7777123932910439E-2</v>
      </c>
      <c r="AJ317">
        <f t="shared" si="275"/>
        <v>0.27821530340947098</v>
      </c>
      <c r="AK317">
        <f t="shared" si="276"/>
        <v>2.3366392751363319E-2</v>
      </c>
      <c r="AL317">
        <f t="shared" si="277"/>
        <v>9.5930006635443044E-2</v>
      </c>
      <c r="AM317">
        <f t="shared" si="278"/>
        <v>-2.1165831089949849E-2</v>
      </c>
      <c r="AN317">
        <f t="shared" si="279"/>
        <v>0.25443349446429075</v>
      </c>
      <c r="AO317">
        <f t="shared" si="280"/>
        <v>4.1854016041792619E-2</v>
      </c>
      <c r="AP317">
        <f t="shared" si="281"/>
        <v>0.13459126672791644</v>
      </c>
    </row>
    <row r="318" spans="1:42" x14ac:dyDescent="0.25">
      <c r="A318">
        <v>8.7599999999999997E-2</v>
      </c>
      <c r="B318">
        <v>0.75775147944458743</v>
      </c>
      <c r="C318">
        <v>0.72478452967055151</v>
      </c>
      <c r="D318">
        <v>0.47799557961446237</v>
      </c>
      <c r="E318">
        <v>0.74969265357454018</v>
      </c>
      <c r="F318">
        <v>0.65523130797515206</v>
      </c>
      <c r="G318">
        <v>0.79285898920464315</v>
      </c>
      <c r="H318">
        <v>0.49334193902349111</v>
      </c>
      <c r="I318">
        <v>0.71793085735308215</v>
      </c>
      <c r="J318">
        <v>0.62332199425036439</v>
      </c>
      <c r="M318">
        <f t="shared" si="322"/>
        <v>0.87887573972229371</v>
      </c>
      <c r="N318">
        <f t="shared" si="323"/>
        <v>0.86239226483527576</v>
      </c>
      <c r="O318">
        <f t="shared" si="324"/>
        <v>0.73899778980723119</v>
      </c>
      <c r="P318">
        <f t="shared" si="325"/>
        <v>0.87484632678727015</v>
      </c>
      <c r="Q318">
        <f t="shared" si="326"/>
        <v>0.82761565398757608</v>
      </c>
      <c r="R318">
        <f t="shared" si="327"/>
        <v>0.89642949460232157</v>
      </c>
      <c r="S318">
        <f t="shared" si="328"/>
        <v>0.7466709695117455</v>
      </c>
      <c r="T318">
        <f t="shared" si="329"/>
        <v>0.85896542867654113</v>
      </c>
      <c r="U318">
        <f t="shared" si="330"/>
        <v>0.81166099712518225</v>
      </c>
      <c r="X318">
        <f t="shared" si="266"/>
        <v>1.6483474887017957E-2</v>
      </c>
      <c r="Y318">
        <f t="shared" si="267"/>
        <v>0.13987794991506253</v>
      </c>
      <c r="Z318">
        <f t="shared" si="268"/>
        <v>4.0294129350235686E-3</v>
      </c>
      <c r="AA318">
        <f t="shared" si="269"/>
        <v>5.1260085734717631E-2</v>
      </c>
      <c r="AB318">
        <f t="shared" si="270"/>
        <v>-1.7553754880027861E-2</v>
      </c>
      <c r="AC318">
        <f t="shared" si="271"/>
        <v>0.13220477021054822</v>
      </c>
      <c r="AD318">
        <f t="shared" si="272"/>
        <v>1.9910311045752582E-2</v>
      </c>
      <c r="AE318">
        <f t="shared" si="273"/>
        <v>6.7214742597111465E-2</v>
      </c>
      <c r="AF318">
        <f>COUNT(X309:X318)</f>
        <v>10</v>
      </c>
      <c r="AI318">
        <f t="shared" si="274"/>
        <v>3.2966949774035914E-2</v>
      </c>
      <c r="AJ318">
        <f t="shared" si="275"/>
        <v>0.27975589983012505</v>
      </c>
      <c r="AK318">
        <f t="shared" si="276"/>
        <v>8.0588258700472482E-3</v>
      </c>
      <c r="AL318">
        <f t="shared" si="277"/>
        <v>0.10252017146943537</v>
      </c>
      <c r="AM318">
        <f t="shared" si="278"/>
        <v>-3.5107509760055722E-2</v>
      </c>
      <c r="AN318">
        <f t="shared" si="279"/>
        <v>0.26440954042109632</v>
      </c>
      <c r="AO318">
        <f t="shared" si="280"/>
        <v>3.9820622091505276E-2</v>
      </c>
      <c r="AP318">
        <f t="shared" si="281"/>
        <v>0.13442948519422304</v>
      </c>
    </row>
    <row r="319" spans="1:42" s="10" customFormat="1" x14ac:dyDescent="0.25">
      <c r="M319" s="10">
        <f>AVERAGE(M309:M318)</f>
        <v>0.88774635240483357</v>
      </c>
      <c r="N319" s="10">
        <f t="shared" ref="N319" si="331">AVERAGE(N309:N318)</f>
        <v>0.86069790390493939</v>
      </c>
      <c r="O319" s="10">
        <f t="shared" ref="O319" si="332">AVERAGE(O309:O318)</f>
        <v>0.75694938142108625</v>
      </c>
      <c r="P319" s="10">
        <f t="shared" ref="P319" si="333">AVERAGE(P309:P318)</f>
        <v>0.85204641615994547</v>
      </c>
      <c r="Q319" s="10">
        <f t="shared" ref="Q319" si="334">AVERAGE(Q309:Q318)</f>
        <v>0.84584672617301648</v>
      </c>
      <c r="R319" s="10">
        <f t="shared" ref="R319" si="335">AVERAGE(R309:R318)</f>
        <v>0.86372728733646154</v>
      </c>
      <c r="S319" s="10">
        <f t="shared" ref="S319" si="336">AVERAGE(S309:S318)</f>
        <v>0.77175850993186157</v>
      </c>
      <c r="T319" s="10">
        <f t="shared" ref="T319" si="337">AVERAGE(T309:T318)</f>
        <v>0.86135215309613</v>
      </c>
      <c r="U319" s="10">
        <f t="shared" ref="U319" si="338">AVERAGE(U309:U318)</f>
        <v>0.82412342433558583</v>
      </c>
      <c r="X319" s="10">
        <f>((M319-N319)/N319)*100</f>
        <v>3.1426181447842332</v>
      </c>
      <c r="Y319" s="10">
        <f>((M319-O319)/O319)*100</f>
        <v>17.279487135347267</v>
      </c>
      <c r="Z319" s="10">
        <f>((M319-P319)/P319)*100</f>
        <v>4.1899050999806722</v>
      </c>
      <c r="AA319" s="10">
        <f>((M319-Q319)/Q319)*100</f>
        <v>4.9535719575802428</v>
      </c>
      <c r="AB319" s="10">
        <f>((M319-R319)/R319)*100</f>
        <v>2.7808621332829913</v>
      </c>
      <c r="AC319" s="10">
        <f>((M319-S319)/S319)*100</f>
        <v>15.029033172982123</v>
      </c>
      <c r="AD319" s="10">
        <f>((M319-T319)/T319)*100</f>
        <v>3.0642750719121823</v>
      </c>
      <c r="AE319" s="10">
        <f>((M319-U319)/U319)*100</f>
        <v>7.7200727695054896</v>
      </c>
      <c r="AI319" s="10">
        <f t="shared" si="274"/>
        <v>0</v>
      </c>
      <c r="AJ319" s="10">
        <f t="shared" si="275"/>
        <v>0</v>
      </c>
      <c r="AK319" s="10">
        <f t="shared" si="276"/>
        <v>0</v>
      </c>
      <c r="AL319" s="10">
        <f t="shared" si="277"/>
        <v>0</v>
      </c>
      <c r="AM319" s="10">
        <f t="shared" si="278"/>
        <v>0</v>
      </c>
      <c r="AN319" s="10">
        <f t="shared" si="279"/>
        <v>0</v>
      </c>
      <c r="AO319" s="10">
        <f t="shared" si="280"/>
        <v>0</v>
      </c>
      <c r="AP319" s="10">
        <f t="shared" si="281"/>
        <v>0</v>
      </c>
    </row>
    <row r="332" spans="1:42" x14ac:dyDescent="0.25">
      <c r="A332" t="s">
        <v>86</v>
      </c>
      <c r="B332">
        <f>MIN(B123:B132,B101:B110,B25:B34)</f>
        <v>0.57644744584572805</v>
      </c>
      <c r="C332">
        <f t="shared" ref="C332:J332" si="339">MIN(C123:C132,C101:C110,C25:C34)</f>
        <v>0.52805677172452592</v>
      </c>
      <c r="D332">
        <f t="shared" si="339"/>
        <v>0.38163429257496018</v>
      </c>
      <c r="E332">
        <f t="shared" si="339"/>
        <v>0.46336569762924029</v>
      </c>
      <c r="F332">
        <f t="shared" si="339"/>
        <v>0.53716105414065152</v>
      </c>
      <c r="G332">
        <f t="shared" si="339"/>
        <v>0.53728436002748869</v>
      </c>
      <c r="H332">
        <f t="shared" si="339"/>
        <v>0.4132877259259462</v>
      </c>
      <c r="I332">
        <f t="shared" si="339"/>
        <v>0.52300485914093386</v>
      </c>
      <c r="J332">
        <f t="shared" si="339"/>
        <v>0.50952507787023915</v>
      </c>
      <c r="W332" t="s">
        <v>89</v>
      </c>
      <c r="X332">
        <f>AVERAGE(X309:X317,X298:X306,X287:X295,X276:X284,X265:X273,X254:X262,X243:X251,X232:X240,X221:X229,X210:X218,X199:X207,X188:X196,X178:X186,X167:X175,X156:X164,X145:X153,X134:X142,X123:X131,X112:X120,X101:X109,X90:X98,X80:X88,X69:X77,X58:X66,X47:X55,X36:X44,X25:X33,X14:X22,X3:X11)</f>
        <v>7.5587275630358566E-2</v>
      </c>
      <c r="Y332">
        <f t="shared" ref="Y332:AE332" si="340">AVERAGE(Y309:Y317,Y298:Y306,Y287:Y295,Y276:Y284,Y265:Y273,Y254:Y262,Y243:Y251,Y232:Y240,Y221:Y229,Y210:Y218,Y199:Y207,Y188:Y196,Y178:Y186,Y167:Y175,Y156:Y164,Y145:Y153,Y134:Y142,Y123:Y131,Y112:Y120,Y101:Y109,Y90:Y98,Y80:Y88,Y69:Y77,Y58:Y66,Y47:Y55,Y36:Y44,Y25:Y33,Y14:Y22,Y3:Y11)</f>
        <v>0.162686854093019</v>
      </c>
      <c r="Z332">
        <f t="shared" si="340"/>
        <v>9.3165951591720073E-2</v>
      </c>
      <c r="AA332">
        <f t="shared" si="340"/>
        <v>6.761918979891178E-2</v>
      </c>
      <c r="AB332">
        <f t="shared" si="340"/>
        <v>7.8759442900018989E-2</v>
      </c>
      <c r="AC332">
        <f t="shared" si="340"/>
        <v>0.1669982561620828</v>
      </c>
      <c r="AD332">
        <f t="shared" si="340"/>
        <v>3.4051084634625493E-2</v>
      </c>
      <c r="AE332">
        <f t="shared" si="340"/>
        <v>9.4528301921095403E-2</v>
      </c>
      <c r="AH332" t="s">
        <v>81</v>
      </c>
      <c r="AI332">
        <f>AVERAGE(AI309:AI317,AI298:AI306,AI287:AI295,AI276:AI284,AI265:AI273,AI254:AI262,AI243:AI251,AI232:AI240,AI221:AI229,AI210:AI218,AI199:AI207,AI188:AI196,AI178:AI186,AI167:AI175,AI156:AI164,AI145:AI153,AI134:AI142,AI123:AI131,AI112:AI120,AI101:AI109,AI90:AI98,AI80:AI88,AI69:AI77,AI58:AI66,AI47:AI55,AI36:AI44,AI25:AI33,AI14:AI22,AI3:AI11)</f>
        <v>0.15117455126071716</v>
      </c>
      <c r="AJ332">
        <f t="shared" ref="AJ332:AP332" si="341">AVERAGE(AJ309:AJ317,AJ298:AJ306,AJ287:AJ295,AJ276:AJ284,AJ265:AJ273,AJ254:AJ262,AJ243:AJ251,AJ232:AJ240,AJ221:AJ229,AJ210:AJ218,AJ199:AJ207,AJ188:AJ196,AJ178:AJ186,AJ167:AJ175,AJ156:AJ164,AJ145:AJ153,AJ134:AJ142,AJ123:AJ131,AJ112:AJ120,AJ101:AJ109,AJ90:AJ98,AJ80:AJ88,AJ69:AJ77,AJ58:AJ66,AJ47:AJ55,AJ36:AJ44,AJ25:AJ33,AJ14:AJ22,AJ3:AJ11)</f>
        <v>0.32537370818603795</v>
      </c>
      <c r="AK332">
        <f t="shared" si="341"/>
        <v>0.18633190318344006</v>
      </c>
      <c r="AL332">
        <f t="shared" si="341"/>
        <v>0.13523837959782356</v>
      </c>
      <c r="AM332">
        <f t="shared" si="341"/>
        <v>0.15751888580003798</v>
      </c>
      <c r="AN332">
        <f t="shared" si="341"/>
        <v>0.33399651232416583</v>
      </c>
      <c r="AO332">
        <f t="shared" si="341"/>
        <v>6.8102169269251001E-2</v>
      </c>
      <c r="AP332">
        <f t="shared" si="341"/>
        <v>0.18905660384219086</v>
      </c>
    </row>
    <row r="333" spans="1:42" x14ac:dyDescent="0.25">
      <c r="A333" t="s">
        <v>87</v>
      </c>
      <c r="B333">
        <f>MAX(B123:B132,B101:B110,B25:B34)</f>
        <v>0.86411078371790651</v>
      </c>
      <c r="C333">
        <f t="shared" ref="C333:K333" si="342">MAX(C123:C132,C101:C110,C25:C34)</f>
        <v>0.75214135446592001</v>
      </c>
      <c r="D333">
        <f t="shared" si="342"/>
        <v>0.60185527149153295</v>
      </c>
      <c r="E333">
        <f t="shared" si="342"/>
        <v>0.74136309274487888</v>
      </c>
      <c r="F333">
        <f t="shared" si="342"/>
        <v>0.80556388441968385</v>
      </c>
      <c r="G333">
        <f t="shared" si="342"/>
        <v>0.83211940910956095</v>
      </c>
      <c r="H333">
        <f t="shared" si="342"/>
        <v>0.71082375390044228</v>
      </c>
      <c r="I333">
        <f t="shared" si="342"/>
        <v>0.82773831227691996</v>
      </c>
      <c r="J333">
        <f t="shared" si="342"/>
        <v>0.7282082574281995</v>
      </c>
      <c r="K333">
        <f t="shared" si="342"/>
        <v>0</v>
      </c>
      <c r="AH333" t="s">
        <v>82</v>
      </c>
      <c r="AI333">
        <f>AVERAGE(AI320:AI328,AI309:AI317,AI298:AI306,AI287:AI295,AI276:AI284,AI265:AI273,AI254:AI262,AI243:AI251,AI232:AI240,AI221:AI229,AI210:AI218,AI199:AI207,AI188:AI196,AI178:AI186,AI167:AI175,AI156:AI164,AI145:AI153,AI134:AI142,AI123:AI131,AI112:AI120,AI101:AI109,AI90:AI98,AI80:AI88,AI69:AI77,AI58:AI66,AI47:AI55,AI36:AI44,AI25:AI33,AI14:AI22,AI3:AI11)</f>
        <v>0.15117455126071716</v>
      </c>
      <c r="AJ333">
        <f t="shared" ref="AJ333:AP333" si="343">AVERAGE(AJ320:AJ328,AJ309:AJ317,AJ298:AJ306,AJ287:AJ295,AJ276:AJ284,AJ265:AJ273,AJ254:AJ262,AJ243:AJ251,AJ232:AJ240,AJ221:AJ229,AJ210:AJ218,AJ199:AJ207,AJ188:AJ196,AJ178:AJ186,AJ167:AJ175,AJ156:AJ164,AJ145:AJ153,AJ134:AJ142,AJ123:AJ131,AJ112:AJ120,AJ101:AJ109,AJ90:AJ98,AJ80:AJ88,AJ69:AJ77,AJ58:AJ66,AJ47:AJ55,AJ36:AJ44,AJ25:AJ33,AJ14:AJ22,AJ3:AJ11)</f>
        <v>0.32537370818603795</v>
      </c>
      <c r="AK333">
        <f t="shared" si="343"/>
        <v>0.18633190318344006</v>
      </c>
      <c r="AL333">
        <f t="shared" si="343"/>
        <v>0.13523837959782356</v>
      </c>
      <c r="AM333">
        <f t="shared" si="343"/>
        <v>0.15751888580003798</v>
      </c>
      <c r="AN333">
        <f t="shared" si="343"/>
        <v>0.33399651232416583</v>
      </c>
      <c r="AO333">
        <f t="shared" si="343"/>
        <v>6.8102169269251001E-2</v>
      </c>
      <c r="AP333">
        <f t="shared" si="343"/>
        <v>0.18905660384219086</v>
      </c>
    </row>
    <row r="335" spans="1:42" x14ac:dyDescent="0.25">
      <c r="C335">
        <f>MIN(C332:J333)</f>
        <v>0.38163429257496018</v>
      </c>
      <c r="W335" t="s">
        <v>89</v>
      </c>
      <c r="X335">
        <f>X332*100</f>
        <v>7.5587275630358564</v>
      </c>
      <c r="Y335">
        <f t="shared" ref="Y335:AE335" si="344">Y332*100</f>
        <v>16.268685409301899</v>
      </c>
      <c r="Z335">
        <f t="shared" si="344"/>
        <v>9.3165951591720066</v>
      </c>
      <c r="AA335">
        <f t="shared" si="344"/>
        <v>6.7619189798911776</v>
      </c>
      <c r="AB335">
        <f t="shared" si="344"/>
        <v>7.8759442900018986</v>
      </c>
      <c r="AC335">
        <f t="shared" si="344"/>
        <v>16.69982561620828</v>
      </c>
      <c r="AD335">
        <f t="shared" si="344"/>
        <v>3.4051084634625495</v>
      </c>
      <c r="AE335">
        <f t="shared" si="344"/>
        <v>9.4528301921095412</v>
      </c>
      <c r="AH335" t="s">
        <v>81</v>
      </c>
      <c r="AI335">
        <f>AI332*100</f>
        <v>15.117455126071716</v>
      </c>
      <c r="AJ335">
        <f t="shared" ref="AJ335:AO335" si="345">AJ332*100</f>
        <v>32.537370818603797</v>
      </c>
      <c r="AK335">
        <f t="shared" si="345"/>
        <v>18.633190318344006</v>
      </c>
      <c r="AL335">
        <f t="shared" si="345"/>
        <v>13.523837959782355</v>
      </c>
      <c r="AM335">
        <f t="shared" si="345"/>
        <v>15.751888580003797</v>
      </c>
      <c r="AN335">
        <f t="shared" si="345"/>
        <v>33.399651232416581</v>
      </c>
      <c r="AO335">
        <f t="shared" si="345"/>
        <v>6.8102169269250998</v>
      </c>
      <c r="AP335">
        <f>AP332*100</f>
        <v>18.905660384219086</v>
      </c>
    </row>
    <row r="336" spans="1:42" x14ac:dyDescent="0.25">
      <c r="C336">
        <f>MAX(C332:J333)</f>
        <v>0.83211940910956095</v>
      </c>
      <c r="AH336" t="s">
        <v>82</v>
      </c>
      <c r="AI336">
        <f>AI333*100</f>
        <v>15.117455126071716</v>
      </c>
      <c r="AJ336">
        <f t="shared" ref="AJ336:AO336" si="346">AJ333*100</f>
        <v>32.537370818603797</v>
      </c>
      <c r="AK336">
        <f t="shared" si="346"/>
        <v>18.633190318344006</v>
      </c>
      <c r="AL336">
        <f t="shared" si="346"/>
        <v>13.523837959782355</v>
      </c>
      <c r="AM336">
        <f t="shared" si="346"/>
        <v>15.751888580003797</v>
      </c>
      <c r="AN336">
        <f t="shared" si="346"/>
        <v>33.399651232416581</v>
      </c>
      <c r="AO336">
        <f t="shared" si="346"/>
        <v>6.8102169269250998</v>
      </c>
      <c r="AP336">
        <f>AP333*100</f>
        <v>18.905660384219086</v>
      </c>
    </row>
    <row r="338" spans="1:25" x14ac:dyDescent="0.25">
      <c r="A338" t="s">
        <v>50</v>
      </c>
      <c r="Y338" s="9">
        <v>0.16</v>
      </c>
    </row>
    <row r="339" spans="1:25" x14ac:dyDescent="0.25">
      <c r="B339">
        <f>MIN(B309,B298,B287,B265,B243,B221,B199,B178,B188,B156,B167,B134,B90,B80,B69,B58,B47,B14,B3)</f>
        <v>0.32691180853970692</v>
      </c>
      <c r="C339">
        <f t="shared" ref="C339:J339" si="347">MIN(C309,C298,C287,C265,C243,C221,C199,C178,C188,C156,C167,C134,C90,C80,C69,C58,C47,C14,C3)</f>
        <v>-9.8360862253438E-2</v>
      </c>
      <c r="D339">
        <f t="shared" si="347"/>
        <v>-0.1033112980059486</v>
      </c>
      <c r="E339">
        <f t="shared" si="347"/>
        <v>-0.2194882184871226</v>
      </c>
      <c r="F339">
        <f t="shared" si="347"/>
        <v>0.48111726156425649</v>
      </c>
      <c r="G339">
        <f t="shared" si="347"/>
        <v>0.23770541711247531</v>
      </c>
      <c r="H339">
        <f t="shared" si="347"/>
        <v>1.70830315470499E-2</v>
      </c>
      <c r="I339">
        <f t="shared" si="347"/>
        <v>0.20082009376743609</v>
      </c>
      <c r="J339">
        <f t="shared" si="347"/>
        <v>-7.3770646690078504E-2</v>
      </c>
    </row>
    <row r="340" spans="1:25" x14ac:dyDescent="0.25">
      <c r="B340">
        <f t="shared" ref="B340:J347" si="348">MIN(B310,B299,B288,B266,B244,B222,B200,B179,B189,B157,B168,B135,B91,B81,B70,B59,B48,B15,B4)</f>
        <v>0.43478460899545268</v>
      </c>
      <c r="C340">
        <f t="shared" si="348"/>
        <v>-2.85719640776478E-2</v>
      </c>
      <c r="D340">
        <f t="shared" si="348"/>
        <v>-1.2346959796971301E-2</v>
      </c>
      <c r="E340">
        <f t="shared" si="348"/>
        <v>-0.1246201417014673</v>
      </c>
      <c r="F340">
        <f t="shared" si="348"/>
        <v>0.38394350339931249</v>
      </c>
      <c r="G340">
        <f t="shared" si="348"/>
        <v>0.212248876005384</v>
      </c>
      <c r="H340">
        <f t="shared" si="348"/>
        <v>-8.0413855147079993E-2</v>
      </c>
      <c r="I340">
        <f t="shared" si="348"/>
        <v>0.25714767669883071</v>
      </c>
      <c r="J340">
        <f t="shared" si="348"/>
        <v>-2.44902549236981E-2</v>
      </c>
    </row>
    <row r="341" spans="1:25" x14ac:dyDescent="0.25">
      <c r="B341">
        <f t="shared" si="348"/>
        <v>0.5489525403396146</v>
      </c>
      <c r="C341">
        <f t="shared" si="348"/>
        <v>8.3760030098048596E-2</v>
      </c>
      <c r="D341">
        <f t="shared" si="348"/>
        <v>7.6216923764117095E-2</v>
      </c>
      <c r="E341">
        <f t="shared" si="348"/>
        <v>-8.0733411639425906E-2</v>
      </c>
      <c r="F341">
        <f t="shared" si="348"/>
        <v>0.45505085431754289</v>
      </c>
      <c r="G341">
        <f t="shared" si="348"/>
        <v>0.27988107618128438</v>
      </c>
      <c r="H341">
        <f t="shared" si="348"/>
        <v>-0.1130272592432347</v>
      </c>
      <c r="I341">
        <f t="shared" si="348"/>
        <v>0.40654258511004082</v>
      </c>
      <c r="J341">
        <f t="shared" si="348"/>
        <v>0.104189305731719</v>
      </c>
    </row>
    <row r="342" spans="1:25" x14ac:dyDescent="0.25">
      <c r="B342">
        <f t="shared" si="348"/>
        <v>0.59557271361686437</v>
      </c>
      <c r="C342">
        <f t="shared" si="348"/>
        <v>0.2415569217998724</v>
      </c>
      <c r="D342">
        <f t="shared" si="348"/>
        <v>0.11784468375936021</v>
      </c>
      <c r="E342">
        <f t="shared" si="348"/>
        <v>-0.1026053367063763</v>
      </c>
      <c r="F342">
        <f t="shared" si="348"/>
        <v>0.44549187904875598</v>
      </c>
      <c r="G342">
        <f t="shared" si="348"/>
        <v>0.32224173616913271</v>
      </c>
      <c r="H342">
        <f t="shared" si="348"/>
        <v>-0.15986575046343429</v>
      </c>
      <c r="I342">
        <f t="shared" si="348"/>
        <v>0.47083128825398862</v>
      </c>
      <c r="J342">
        <f t="shared" si="348"/>
        <v>0.2538394771456286</v>
      </c>
      <c r="X342">
        <f>MAX(X308:AE308,X297:AE297,X286:AE286,X275:AE275,X264:AE264,X253:AE253,X242:AE242,X231:AE231,X220:AE220,X209:AE209,X198:AE198,X187:AE187,X177:AE177,X166:AE166,X155:AE155,X144:AE144,X133:AE133,X122:AE122,X111:AE111,X100:AE100,X89:AE89,X79:AE79,X68:AE68,X57:AE57,X46:AE46,X35:AE35,X24:AE24,X13:AE13)</f>
        <v>97.301341572985393</v>
      </c>
    </row>
    <row r="343" spans="1:25" x14ac:dyDescent="0.25">
      <c r="B343">
        <f t="shared" si="348"/>
        <v>0.63968135589812303</v>
      </c>
      <c r="C343">
        <f t="shared" si="348"/>
        <v>0.28396693130801848</v>
      </c>
      <c r="D343">
        <f t="shared" si="348"/>
        <v>0.1297207397112998</v>
      </c>
      <c r="E343">
        <f t="shared" si="348"/>
        <v>-0.1146337698016552</v>
      </c>
      <c r="F343">
        <f t="shared" si="348"/>
        <v>0.36281081628020317</v>
      </c>
      <c r="G343">
        <f t="shared" si="348"/>
        <v>0.33708304795556149</v>
      </c>
      <c r="H343">
        <f t="shared" si="348"/>
        <v>-0.16703241216265949</v>
      </c>
      <c r="I343">
        <f t="shared" si="348"/>
        <v>0.49643139789819057</v>
      </c>
      <c r="J343">
        <f t="shared" si="348"/>
        <v>0.27579522105455029</v>
      </c>
    </row>
    <row r="344" spans="1:25" x14ac:dyDescent="0.25">
      <c r="B344">
        <f t="shared" si="348"/>
        <v>0.663953488372093</v>
      </c>
      <c r="C344">
        <f t="shared" si="348"/>
        <v>0.36690543635058281</v>
      </c>
      <c r="D344">
        <f t="shared" si="348"/>
        <v>0.12564721569792131</v>
      </c>
      <c r="E344">
        <f t="shared" si="348"/>
        <v>-0.1145622875396448</v>
      </c>
      <c r="F344">
        <f t="shared" si="348"/>
        <v>0.38701505142650688</v>
      </c>
      <c r="G344">
        <f t="shared" si="348"/>
        <v>0.35767067582078271</v>
      </c>
      <c r="H344">
        <f t="shared" si="348"/>
        <v>-0.1556530769461674</v>
      </c>
      <c r="I344">
        <f t="shared" si="348"/>
        <v>0.54727746504072528</v>
      </c>
      <c r="J344">
        <f t="shared" si="348"/>
        <v>0.28269553093619609</v>
      </c>
    </row>
    <row r="345" spans="1:25" x14ac:dyDescent="0.25">
      <c r="B345">
        <f t="shared" si="348"/>
        <v>0.53077726316739582</v>
      </c>
      <c r="C345">
        <f t="shared" si="348"/>
        <v>0.33630594610538811</v>
      </c>
      <c r="D345">
        <f t="shared" si="348"/>
        <v>0.1082790420121634</v>
      </c>
      <c r="E345">
        <f t="shared" si="348"/>
        <v>-0.1148281421868033</v>
      </c>
      <c r="F345">
        <f t="shared" si="348"/>
        <v>0.25135760112986422</v>
      </c>
      <c r="G345">
        <f t="shared" si="348"/>
        <v>0.3650592035122992</v>
      </c>
      <c r="H345">
        <f t="shared" si="348"/>
        <v>-0.1598812829961799</v>
      </c>
      <c r="I345">
        <f t="shared" si="348"/>
        <v>0.4969615015616291</v>
      </c>
      <c r="J345">
        <f t="shared" si="348"/>
        <v>0.25863545995542792</v>
      </c>
    </row>
    <row r="346" spans="1:25" x14ac:dyDescent="0.25">
      <c r="B346">
        <f t="shared" si="348"/>
        <v>0.5454556585169168</v>
      </c>
      <c r="C346">
        <f t="shared" si="348"/>
        <v>0.31668474689322301</v>
      </c>
      <c r="D346">
        <f t="shared" si="348"/>
        <v>9.4481867894072299E-2</v>
      </c>
      <c r="E346">
        <f t="shared" si="348"/>
        <v>-0.10036215821106111</v>
      </c>
      <c r="F346">
        <f t="shared" si="348"/>
        <v>0.2454750078411766</v>
      </c>
      <c r="G346">
        <f t="shared" si="348"/>
        <v>0.35822654639683632</v>
      </c>
      <c r="H346">
        <f t="shared" si="348"/>
        <v>-0.13305801372118631</v>
      </c>
      <c r="I346">
        <f t="shared" si="348"/>
        <v>0.52475847254337904</v>
      </c>
      <c r="J346">
        <f t="shared" si="348"/>
        <v>0.2408054215172542</v>
      </c>
    </row>
    <row r="347" spans="1:25" x14ac:dyDescent="0.25">
      <c r="B347">
        <f t="shared" si="348"/>
        <v>0.4596774193548388</v>
      </c>
      <c r="C347">
        <f t="shared" si="348"/>
        <v>0.30048327460528318</v>
      </c>
      <c r="D347">
        <f t="shared" si="348"/>
        <v>9.4404443960191806E-2</v>
      </c>
      <c r="E347">
        <f t="shared" si="348"/>
        <v>-6.3183787336990593E-2</v>
      </c>
      <c r="F347">
        <f t="shared" si="348"/>
        <v>5.8182654677543903E-2</v>
      </c>
      <c r="G347">
        <f t="shared" si="348"/>
        <v>0.32267760853435029</v>
      </c>
      <c r="H347">
        <f t="shared" si="348"/>
        <v>-0.1159763767793042</v>
      </c>
      <c r="I347">
        <f t="shared" si="348"/>
        <v>0.38048390276719107</v>
      </c>
      <c r="J347">
        <f t="shared" si="348"/>
        <v>0.2328847838957461</v>
      </c>
    </row>
    <row r="350" spans="1:25" x14ac:dyDescent="0.25">
      <c r="B350">
        <f>MAX(B309,B298,B287,B265,B243,B221,B199,B188,B178,B167,B156,B134,B90,B80,B69,B58,B47,B14,B3)</f>
        <v>0.83084249676901345</v>
      </c>
      <c r="C350">
        <f t="shared" ref="C350:J350" si="349">MAX(C309,C298,C287,C265,C243,C221,C199,C188,C178,C167,C156,C134,C90,C80,C69,C58,C47,C14,C3)</f>
        <v>0.79508816489817891</v>
      </c>
      <c r="D350">
        <f t="shared" si="349"/>
        <v>0.68506605216322325</v>
      </c>
      <c r="E350">
        <f t="shared" si="349"/>
        <v>0.82062545632696893</v>
      </c>
      <c r="F350">
        <f t="shared" si="349"/>
        <v>0.83078936560507266</v>
      </c>
      <c r="G350">
        <f t="shared" si="349"/>
        <v>0.82004596926319562</v>
      </c>
      <c r="H350">
        <f t="shared" si="349"/>
        <v>0.79811192699915567</v>
      </c>
      <c r="I350">
        <f t="shared" si="349"/>
        <v>0.85298899241867554</v>
      </c>
      <c r="J350">
        <f t="shared" si="349"/>
        <v>0.76105968881950259</v>
      </c>
    </row>
    <row r="351" spans="1:25" x14ac:dyDescent="0.25">
      <c r="B351">
        <f t="shared" ref="B351:J358" si="350">MAX(B310,B299,B288,B266,B244,B222,B200,B189,B179,B168,B157,B135,B91,B81,B70,B59,B48,B15,B4)</f>
        <v>0.82833426366796792</v>
      </c>
      <c r="C351">
        <f t="shared" si="350"/>
        <v>0.78515231327697199</v>
      </c>
      <c r="D351">
        <f t="shared" si="350"/>
        <v>0.68233878438659645</v>
      </c>
      <c r="E351">
        <f t="shared" si="350"/>
        <v>0.81992209309135256</v>
      </c>
      <c r="F351">
        <f t="shared" si="350"/>
        <v>0.823353049766815</v>
      </c>
      <c r="G351">
        <f t="shared" si="350"/>
        <v>0.81766134142045266</v>
      </c>
      <c r="H351">
        <f t="shared" si="350"/>
        <v>0.78698465618608315</v>
      </c>
      <c r="I351">
        <f t="shared" si="350"/>
        <v>0.86408092521932145</v>
      </c>
      <c r="J351">
        <f t="shared" si="350"/>
        <v>0.74886581070289182</v>
      </c>
    </row>
    <row r="352" spans="1:25" x14ac:dyDescent="0.25">
      <c r="B352">
        <f t="shared" si="350"/>
        <v>0.84665082853499674</v>
      </c>
      <c r="C352">
        <f t="shared" si="350"/>
        <v>0.77795715050606107</v>
      </c>
      <c r="D352">
        <f t="shared" si="350"/>
        <v>0.65840281404705514</v>
      </c>
      <c r="E352">
        <f t="shared" si="350"/>
        <v>0.81425820431467766</v>
      </c>
      <c r="F352">
        <f t="shared" si="350"/>
        <v>0.81936740287846288</v>
      </c>
      <c r="G352">
        <f t="shared" si="350"/>
        <v>0.82112423495059594</v>
      </c>
      <c r="H352">
        <f t="shared" si="350"/>
        <v>0.77934180624414906</v>
      </c>
      <c r="I352">
        <f t="shared" si="350"/>
        <v>0.8608783873817959</v>
      </c>
      <c r="J352">
        <f t="shared" si="350"/>
        <v>0.74000633518459069</v>
      </c>
    </row>
    <row r="353" spans="1:10" x14ac:dyDescent="0.25">
      <c r="B353">
        <f t="shared" si="350"/>
        <v>0.87034277198211618</v>
      </c>
      <c r="C353">
        <f t="shared" si="350"/>
        <v>0.76358605826091852</v>
      </c>
      <c r="D353">
        <f t="shared" si="350"/>
        <v>0.65182175974690826</v>
      </c>
      <c r="E353">
        <f t="shared" si="350"/>
        <v>0.79156743857522505</v>
      </c>
      <c r="F353">
        <f t="shared" si="350"/>
        <v>0.80299461355067525</v>
      </c>
      <c r="G353">
        <f t="shared" si="350"/>
        <v>0.80941597566912971</v>
      </c>
      <c r="H353">
        <f t="shared" si="350"/>
        <v>0.76423061197214859</v>
      </c>
      <c r="I353">
        <f t="shared" si="350"/>
        <v>0.84142606009338328</v>
      </c>
      <c r="J353">
        <f t="shared" si="350"/>
        <v>0.72703041446977512</v>
      </c>
    </row>
    <row r="354" spans="1:10" x14ac:dyDescent="0.25">
      <c r="B354">
        <f t="shared" si="350"/>
        <v>0.8865621046372828</v>
      </c>
      <c r="C354">
        <f t="shared" si="350"/>
        <v>0.76212227470294824</v>
      </c>
      <c r="D354">
        <f t="shared" si="350"/>
        <v>0.64169266952995507</v>
      </c>
      <c r="E354">
        <f t="shared" si="350"/>
        <v>0.8418790652678112</v>
      </c>
      <c r="F354">
        <f t="shared" si="350"/>
        <v>0.80358252565307553</v>
      </c>
      <c r="G354">
        <f t="shared" si="350"/>
        <v>0.85298899241867554</v>
      </c>
      <c r="H354">
        <f t="shared" si="350"/>
        <v>0.76251107112020233</v>
      </c>
      <c r="I354">
        <f t="shared" si="350"/>
        <v>0.86004821166627832</v>
      </c>
      <c r="J354">
        <f t="shared" si="350"/>
        <v>0.72640464375998071</v>
      </c>
    </row>
    <row r="355" spans="1:10" x14ac:dyDescent="0.25">
      <c r="B355">
        <f t="shared" si="350"/>
        <v>0.89490685991765362</v>
      </c>
      <c r="C355">
        <f t="shared" si="350"/>
        <v>0.7663161136640686</v>
      </c>
      <c r="D355">
        <f t="shared" si="350"/>
        <v>0.62964611685237781</v>
      </c>
      <c r="E355">
        <f t="shared" si="350"/>
        <v>0.81660800162914515</v>
      </c>
      <c r="F355">
        <f t="shared" si="350"/>
        <v>0.80610094575053337</v>
      </c>
      <c r="G355">
        <f t="shared" si="350"/>
        <v>0.84896536740979633</v>
      </c>
      <c r="H355">
        <f t="shared" si="350"/>
        <v>0.76471697291731422</v>
      </c>
      <c r="I355">
        <f t="shared" si="350"/>
        <v>0.84426195817206895</v>
      </c>
      <c r="J355">
        <f t="shared" si="350"/>
        <v>0.72825136964247639</v>
      </c>
    </row>
    <row r="356" spans="1:10" x14ac:dyDescent="0.25">
      <c r="B356">
        <f t="shared" si="350"/>
        <v>0.86608698325178801</v>
      </c>
      <c r="C356">
        <f t="shared" si="350"/>
        <v>0.78126461453315266</v>
      </c>
      <c r="D356">
        <f t="shared" si="350"/>
        <v>0.65896596179687517</v>
      </c>
      <c r="E356">
        <f t="shared" si="350"/>
        <v>0.83382440134121838</v>
      </c>
      <c r="F356">
        <f t="shared" si="350"/>
        <v>0.81499830305721188</v>
      </c>
      <c r="G356">
        <f t="shared" si="350"/>
        <v>0.86609975197856004</v>
      </c>
      <c r="H356">
        <f t="shared" si="350"/>
        <v>0.77466964402489846</v>
      </c>
      <c r="I356">
        <f t="shared" si="350"/>
        <v>0.84661522558385083</v>
      </c>
      <c r="J356">
        <f t="shared" si="350"/>
        <v>0.74322786538059571</v>
      </c>
    </row>
    <row r="357" spans="1:10" x14ac:dyDescent="0.25">
      <c r="B357">
        <f t="shared" si="350"/>
        <v>0.84322983968920495</v>
      </c>
      <c r="C357">
        <f t="shared" si="350"/>
        <v>0.79736914051060359</v>
      </c>
      <c r="D357">
        <f t="shared" si="350"/>
        <v>0.67877215665072466</v>
      </c>
      <c r="E357">
        <f t="shared" si="350"/>
        <v>0.82182704081528168</v>
      </c>
      <c r="F357">
        <f t="shared" si="350"/>
        <v>0.83774959354273748</v>
      </c>
      <c r="G357">
        <f t="shared" si="350"/>
        <v>0.85458415155166767</v>
      </c>
      <c r="H357">
        <f t="shared" si="350"/>
        <v>0.79188590302099859</v>
      </c>
      <c r="I357">
        <f>MAX(I316,I305,I294,I272,I250,I228,I206,I195,I185,I174,I163,I141,I97,I87,I76,I65,I54,I21,I10)</f>
        <v>0.84232517443174859</v>
      </c>
      <c r="J357">
        <f t="shared" si="350"/>
        <v>0.7545836307709668</v>
      </c>
    </row>
    <row r="358" spans="1:10" x14ac:dyDescent="0.25">
      <c r="B358">
        <f t="shared" si="350"/>
        <v>0.85203585478067467</v>
      </c>
      <c r="C358">
        <f t="shared" si="350"/>
        <v>0.80190080203493397</v>
      </c>
      <c r="D358">
        <f t="shared" si="350"/>
        <v>0.70653708131243043</v>
      </c>
      <c r="E358">
        <f t="shared" si="350"/>
        <v>0.83561541868894973</v>
      </c>
      <c r="F358">
        <f t="shared" si="350"/>
        <v>0.84191404664984315</v>
      </c>
      <c r="G358">
        <f t="shared" si="350"/>
        <v>0.87094551617325811</v>
      </c>
      <c r="H358">
        <f t="shared" si="350"/>
        <v>0.79417899627270183</v>
      </c>
      <c r="I358">
        <f t="shared" si="350"/>
        <v>0.85842570846779764</v>
      </c>
      <c r="J358">
        <f t="shared" si="350"/>
        <v>0.75702016090235136</v>
      </c>
    </row>
    <row r="360" spans="1:10" x14ac:dyDescent="0.25">
      <c r="A360" t="s">
        <v>17</v>
      </c>
    </row>
    <row r="361" spans="1:10" x14ac:dyDescent="0.25">
      <c r="B361">
        <f>AVERAGE(B309,B298,B287,B265,B243,B221,B199,B188,B178,B167,B156,B134,B90,B80,B69,B58,B47,B14,B3)</f>
        <v>0.70534785064714622</v>
      </c>
      <c r="C361">
        <f t="shared" ref="C361:J361" si="351">AVERAGE(C309,C298,C287,C265,C243,C221,C199,C188,C178,C167,C156,C134,C90,C80,C69,C58,C47,C14,C3)</f>
        <v>0.59228371404509961</v>
      </c>
      <c r="D361">
        <f t="shared" si="351"/>
        <v>0.4478577539495342</v>
      </c>
      <c r="E361">
        <f t="shared" si="351"/>
        <v>0.43603359589905177</v>
      </c>
      <c r="F361">
        <f t="shared" si="351"/>
        <v>0.70995554123505389</v>
      </c>
      <c r="G361">
        <f t="shared" si="351"/>
        <v>0.48596603162698354</v>
      </c>
      <c r="H361">
        <f t="shared" si="351"/>
        <v>0.49403088301403847</v>
      </c>
      <c r="I361">
        <f t="shared" si="351"/>
        <v>0.7013386713109574</v>
      </c>
      <c r="J361">
        <f t="shared" si="351"/>
        <v>0.56693222519933817</v>
      </c>
    </row>
    <row r="362" spans="1:10" x14ac:dyDescent="0.25">
      <c r="B362">
        <f t="shared" ref="B362:J362" si="352">AVERAGE(B310,B299,B288,B266,B244,B222,B200,B189,B179,B168,B157,B135,B91,B81,B70,B59,B48,B15,B4)</f>
        <v>0.73783953041807115</v>
      </c>
      <c r="C362">
        <f t="shared" si="352"/>
        <v>0.6006558957088054</v>
      </c>
      <c r="D362">
        <f t="shared" si="352"/>
        <v>0.44500391794145255</v>
      </c>
      <c r="E362">
        <f t="shared" si="352"/>
        <v>0.47075785548806326</v>
      </c>
      <c r="F362">
        <f t="shared" si="352"/>
        <v>0.68227099683625514</v>
      </c>
      <c r="G362">
        <f t="shared" si="352"/>
        <v>0.51534273227404215</v>
      </c>
      <c r="H362">
        <f t="shared" si="352"/>
        <v>0.45489813648304162</v>
      </c>
      <c r="I362">
        <f t="shared" si="352"/>
        <v>0.71632752844626513</v>
      </c>
      <c r="J362">
        <f t="shared" si="352"/>
        <v>0.56873721846541558</v>
      </c>
    </row>
    <row r="363" spans="1:10" x14ac:dyDescent="0.25">
      <c r="B363">
        <f t="shared" ref="B363:J363" si="353">AVERAGE(B311,B300,B289,B267,B245,B223,B201,B190,B180,B169,B158,B136,B92,B82,B71,B60,B49,B16,B5)</f>
        <v>0.76310613773197622</v>
      </c>
      <c r="C363">
        <f t="shared" si="353"/>
        <v>0.59848158774449389</v>
      </c>
      <c r="D363">
        <f t="shared" si="353"/>
        <v>0.43244425874079973</v>
      </c>
      <c r="E363">
        <f t="shared" si="353"/>
        <v>0.49663018538010045</v>
      </c>
      <c r="F363">
        <f t="shared" si="353"/>
        <v>0.65608667377008545</v>
      </c>
      <c r="G363">
        <f t="shared" si="353"/>
        <v>0.54464335651483675</v>
      </c>
      <c r="H363">
        <f t="shared" si="353"/>
        <v>0.42450248192388196</v>
      </c>
      <c r="I363">
        <f t="shared" si="353"/>
        <v>0.71848590231997256</v>
      </c>
      <c r="J363">
        <f t="shared" si="353"/>
        <v>0.56002788148841876</v>
      </c>
    </row>
    <row r="364" spans="1:10" x14ac:dyDescent="0.25">
      <c r="B364">
        <f t="shared" ref="B364:J364" si="354">AVERAGE(B312,B301,B290,B268,B246,B224,B202,B191,B181,B170,B159,B137,B93,B83,B72,B61,B50,B17,B6)</f>
        <v>0.77973683142487904</v>
      </c>
      <c r="C364">
        <f t="shared" si="354"/>
        <v>0.59720668259930465</v>
      </c>
      <c r="D364">
        <f t="shared" si="354"/>
        <v>0.42216542292197173</v>
      </c>
      <c r="E364">
        <f t="shared" si="354"/>
        <v>0.51909363052180424</v>
      </c>
      <c r="F364">
        <f t="shared" si="354"/>
        <v>0.62893875456541037</v>
      </c>
      <c r="G364">
        <f t="shared" si="354"/>
        <v>0.56545517624152408</v>
      </c>
      <c r="H364">
        <f t="shared" si="354"/>
        <v>0.39733456811295798</v>
      </c>
      <c r="I364">
        <f t="shared" si="354"/>
        <v>0.70995111854353687</v>
      </c>
      <c r="J364">
        <f t="shared" si="354"/>
        <v>0.553147485877023</v>
      </c>
    </row>
    <row r="365" spans="1:10" x14ac:dyDescent="0.25">
      <c r="B365">
        <f t="shared" ref="B365:J365" si="355">AVERAGE(B313,B302,B291,B269,B247,B225,B203,B192,B182,B171,B160,B138,B94,B84,B73,B62,B51,B18,B7)</f>
        <v>0.79244223665016977</v>
      </c>
      <c r="C365">
        <f t="shared" si="355"/>
        <v>0.59128446911539378</v>
      </c>
      <c r="D365">
        <f t="shared" si="355"/>
        <v>0.40959669786590058</v>
      </c>
      <c r="E365">
        <f t="shared" si="355"/>
        <v>0.55612741388790121</v>
      </c>
      <c r="F365">
        <f t="shared" si="355"/>
        <v>0.59276747907397975</v>
      </c>
      <c r="G365">
        <f t="shared" si="355"/>
        <v>0.598283960203285</v>
      </c>
      <c r="H365">
        <f t="shared" si="355"/>
        <v>0.36312550055841986</v>
      </c>
      <c r="I365">
        <f t="shared" si="355"/>
        <v>0.69996538128546104</v>
      </c>
      <c r="J365">
        <f t="shared" si="355"/>
        <v>0.54133822376374496</v>
      </c>
    </row>
    <row r="366" spans="1:10" x14ac:dyDescent="0.25">
      <c r="B366">
        <f t="shared" ref="B366:J366" si="356">AVERAGE(B314,B303,B292,B270,B248,B226,B204,B193,B183,B172,B161,B139,B95,B85,B74,B63,B52,B19,B8)</f>
        <v>0.7807898249509172</v>
      </c>
      <c r="C366">
        <f t="shared" si="356"/>
        <v>0.58635363156982478</v>
      </c>
      <c r="D366">
        <f t="shared" si="356"/>
        <v>0.39846377044609915</v>
      </c>
      <c r="E366">
        <f t="shared" si="356"/>
        <v>0.58114081331005674</v>
      </c>
      <c r="F366">
        <f t="shared" si="356"/>
        <v>0.56720100394407935</v>
      </c>
      <c r="G366">
        <f t="shared" si="356"/>
        <v>0.62524562912933757</v>
      </c>
      <c r="H366">
        <f t="shared" si="356"/>
        <v>0.3416182248754504</v>
      </c>
      <c r="I366">
        <f t="shared" si="356"/>
        <v>0.6870984722443263</v>
      </c>
      <c r="J366">
        <f t="shared" si="356"/>
        <v>0.53273131319250855</v>
      </c>
    </row>
    <row r="367" spans="1:10" x14ac:dyDescent="0.25">
      <c r="B367">
        <f t="shared" ref="B367:J367" si="357">AVERAGE(B315,B304,B293,B271,B249,B227,B205,B194,B184,B173,B162,B140,B96,B86,B75,B64,B53,B20,B9)</f>
        <v>0.74529507106774739</v>
      </c>
      <c r="C367">
        <f t="shared" si="357"/>
        <v>0.58516782952192603</v>
      </c>
      <c r="D367">
        <f t="shared" si="357"/>
        <v>0.39473513507324592</v>
      </c>
      <c r="E367">
        <f t="shared" si="357"/>
        <v>0.61921812249821928</v>
      </c>
      <c r="F367">
        <f t="shared" si="357"/>
        <v>0.53399938851240147</v>
      </c>
      <c r="G367">
        <f t="shared" si="357"/>
        <v>0.63751743103819358</v>
      </c>
      <c r="H367">
        <f t="shared" si="357"/>
        <v>0.32013840491253764</v>
      </c>
      <c r="I367">
        <f>AVERAGE(I315,I304,I293,I271,I249,I227,I205,I194,I184,I173,I162,I140,I96,I86,I75,I64,I53,I20,I9)</f>
        <v>0.66716974354996383</v>
      </c>
      <c r="J367">
        <f t="shared" si="357"/>
        <v>0.52911578224989431</v>
      </c>
    </row>
    <row r="368" spans="1:10" x14ac:dyDescent="0.25">
      <c r="B368">
        <f t="shared" ref="B368:J368" si="358">AVERAGE(B316,B305,B294,B272,B250,B228,B206,B195,B185,B174,B163,B141,B97,B87,B76,B65,B54,B21,B10)</f>
        <v>0.73272100303568732</v>
      </c>
      <c r="C368">
        <f t="shared" si="358"/>
        <v>0.58303547086366658</v>
      </c>
      <c r="D368">
        <f t="shared" si="358"/>
        <v>0.38885101970322189</v>
      </c>
      <c r="E368">
        <f t="shared" si="358"/>
        <v>0.63114351390725221</v>
      </c>
      <c r="F368">
        <f t="shared" si="358"/>
        <v>0.52603877496005358</v>
      </c>
      <c r="G368">
        <f t="shared" si="358"/>
        <v>0.65005529815699659</v>
      </c>
      <c r="H368">
        <f t="shared" si="358"/>
        <v>0.31638574244181905</v>
      </c>
      <c r="I368">
        <f t="shared" si="358"/>
        <v>0.65881113358390642</v>
      </c>
      <c r="J368">
        <f t="shared" si="358"/>
        <v>0.52476088529250664</v>
      </c>
    </row>
    <row r="369" spans="2:10" x14ac:dyDescent="0.25">
      <c r="B369">
        <f t="shared" ref="B369:J369" si="359">AVERAGE(B317,B306,B295,B273,B251,B229,B207,B196,B186,B175,B164,B142,B98,B88,B77,B66,B55,B22,B11)</f>
        <v>0.71401332506298387</v>
      </c>
      <c r="C369">
        <f t="shared" si="359"/>
        <v>0.57139030618437925</v>
      </c>
      <c r="D369">
        <f t="shared" si="359"/>
        <v>0.37325989447376673</v>
      </c>
      <c r="E369">
        <f t="shared" si="359"/>
        <v>0.63891917426106648</v>
      </c>
      <c r="F369">
        <f t="shared" si="359"/>
        <v>0.5140465525859258</v>
      </c>
      <c r="G369">
        <f t="shared" si="359"/>
        <v>0.64089190653887573</v>
      </c>
      <c r="H369">
        <f t="shared" si="359"/>
        <v>0.30970678041987243</v>
      </c>
      <c r="I369">
        <f>AVERAGE(I317,I306,I295,I273,I251,I229,I207,I196,I186,I175,I164,I142,I98,I88,I77,I66,I55,I22,I11)</f>
        <v>0.64658605289148563</v>
      </c>
      <c r="J369">
        <f t="shared" si="359"/>
        <v>0.51056838333642274</v>
      </c>
    </row>
    <row r="397" spans="2:11" x14ac:dyDescent="0.25">
      <c r="B397" t="s">
        <v>49</v>
      </c>
    </row>
    <row r="398" spans="2:11" x14ac:dyDescent="0.25">
      <c r="B398" s="1" t="s">
        <v>18</v>
      </c>
      <c r="C398" s="1" t="s">
        <v>0</v>
      </c>
      <c r="D398" s="1" t="s">
        <v>1</v>
      </c>
      <c r="E398" s="1" t="s">
        <v>19</v>
      </c>
      <c r="F398" s="1" t="s">
        <v>20</v>
      </c>
      <c r="G398" s="1" t="s">
        <v>21</v>
      </c>
      <c r="H398" s="1" t="s">
        <v>22</v>
      </c>
      <c r="I398" s="1" t="s">
        <v>23</v>
      </c>
      <c r="J398" s="1" t="s">
        <v>7</v>
      </c>
      <c r="K398" s="1" t="s">
        <v>8</v>
      </c>
    </row>
    <row r="399" spans="2:11" x14ac:dyDescent="0.25">
      <c r="B399">
        <v>0.23960000000000001</v>
      </c>
      <c r="C399">
        <v>0.72223326238379848</v>
      </c>
      <c r="D399">
        <v>0.61735101703898299</v>
      </c>
      <c r="E399">
        <v>0.37454086293726069</v>
      </c>
      <c r="F399">
        <v>0.43911659272106129</v>
      </c>
      <c r="G399">
        <v>0.67327948517310032</v>
      </c>
      <c r="H399">
        <v>0.43136254221428028</v>
      </c>
      <c r="I399">
        <v>0.3119144747817858</v>
      </c>
      <c r="J399">
        <v>0.74369335115629809</v>
      </c>
      <c r="K399">
        <v>0.56460943224319637</v>
      </c>
    </row>
    <row r="400" spans="2:11" x14ac:dyDescent="0.25">
      <c r="B400">
        <v>0.29289999999999999</v>
      </c>
      <c r="C400">
        <v>0.76709258316538009</v>
      </c>
      <c r="D400">
        <v>0.60736955897752665</v>
      </c>
      <c r="E400">
        <v>0.33221978980291672</v>
      </c>
      <c r="F400">
        <v>0.4922271312373393</v>
      </c>
      <c r="G400">
        <v>0.61662782714777709</v>
      </c>
      <c r="H400">
        <v>0.48491361182549508</v>
      </c>
      <c r="I400">
        <v>0.2425437658347252</v>
      </c>
      <c r="J400">
        <v>0.75569663824810429</v>
      </c>
      <c r="K400">
        <v>0.53364531355214795</v>
      </c>
    </row>
    <row r="401" spans="2:11" x14ac:dyDescent="0.25">
      <c r="B401">
        <v>0.34610000000000002</v>
      </c>
      <c r="C401">
        <v>0.80461921461892205</v>
      </c>
      <c r="D401">
        <v>0.59064761886505446</v>
      </c>
      <c r="E401">
        <v>0.29174528229292518</v>
      </c>
      <c r="F401">
        <v>0.53463416349292825</v>
      </c>
      <c r="G401">
        <v>0.56909333926441252</v>
      </c>
      <c r="H401">
        <v>0.5423142830238582</v>
      </c>
      <c r="I401">
        <v>0.19142432561822439</v>
      </c>
      <c r="J401">
        <v>0.74749620364058722</v>
      </c>
      <c r="K401">
        <v>0.50058869385910099</v>
      </c>
    </row>
    <row r="402" spans="2:11" x14ac:dyDescent="0.25">
      <c r="B402">
        <v>0.39939999999999998</v>
      </c>
      <c r="C402">
        <v>0.81505433709126296</v>
      </c>
      <c r="D402">
        <v>0.56048331735346868</v>
      </c>
      <c r="E402">
        <v>0.2357790603064345</v>
      </c>
      <c r="F402">
        <v>0.58254555111570583</v>
      </c>
      <c r="G402">
        <v>0.49831164699291741</v>
      </c>
      <c r="H402">
        <v>0.60497811010126379</v>
      </c>
      <c r="I402">
        <v>0.12362918156351201</v>
      </c>
      <c r="J402">
        <v>0.7141732928188812</v>
      </c>
      <c r="K402">
        <v>0.45201823753907588</v>
      </c>
    </row>
    <row r="403" spans="2:11" x14ac:dyDescent="0.25">
      <c r="B403">
        <v>0.4526</v>
      </c>
      <c r="C403">
        <v>0.80704728102954648</v>
      </c>
      <c r="D403">
        <v>0.53519093653080929</v>
      </c>
      <c r="E403">
        <v>0.19711323938690389</v>
      </c>
      <c r="F403">
        <v>0.61325158585588668</v>
      </c>
      <c r="G403">
        <v>0.44939593169030012</v>
      </c>
      <c r="H403">
        <v>0.65308021637092695</v>
      </c>
      <c r="I403">
        <v>8.4720849281787802E-2</v>
      </c>
      <c r="J403">
        <v>0.68623331398546306</v>
      </c>
      <c r="K403">
        <v>0.41810400586252078</v>
      </c>
    </row>
    <row r="404" spans="2:11" x14ac:dyDescent="0.25">
      <c r="B404">
        <v>0.50590000000000002</v>
      </c>
      <c r="C404">
        <v>0.78100917928164582</v>
      </c>
      <c r="D404">
        <v>0.51616009020146003</v>
      </c>
      <c r="E404">
        <v>0.17502035130746321</v>
      </c>
      <c r="F404">
        <v>0.63635642755922095</v>
      </c>
      <c r="G404">
        <v>0.4122415982731607</v>
      </c>
      <c r="H404">
        <v>0.68997664258187608</v>
      </c>
      <c r="I404">
        <v>6.3490798323676906E-2</v>
      </c>
      <c r="J404">
        <v>0.65994558910780199</v>
      </c>
      <c r="K404">
        <v>0.39443963584280589</v>
      </c>
    </row>
    <row r="405" spans="2:11" x14ac:dyDescent="0.25">
      <c r="B405">
        <v>0.55910000000000004</v>
      </c>
      <c r="C405">
        <v>0.7466505179212336</v>
      </c>
      <c r="D405">
        <v>0.50420356703585145</v>
      </c>
      <c r="E405">
        <v>0.15178240911723309</v>
      </c>
      <c r="F405">
        <v>0.66453288401153443</v>
      </c>
      <c r="G405">
        <v>0.38369964089020719</v>
      </c>
      <c r="H405">
        <v>0.71874452309224035</v>
      </c>
      <c r="I405">
        <v>4.8425714648774897E-2</v>
      </c>
      <c r="J405">
        <v>0.64281700531724684</v>
      </c>
      <c r="K405">
        <v>0.37538692696860287</v>
      </c>
    </row>
    <row r="406" spans="2:11" x14ac:dyDescent="0.25">
      <c r="B406">
        <v>0.61240000000000006</v>
      </c>
      <c r="C406">
        <v>0.73529578274939034</v>
      </c>
      <c r="D406">
        <v>0.49658573315277571</v>
      </c>
      <c r="E406">
        <v>0.13939382887040869</v>
      </c>
      <c r="F406">
        <v>0.6806500544080939</v>
      </c>
      <c r="G406">
        <v>0.37424282367566453</v>
      </c>
      <c r="H406">
        <v>0.72835042523635662</v>
      </c>
      <c r="I406">
        <v>4.3004710522265198E-2</v>
      </c>
      <c r="J406">
        <v>0.63607989339342685</v>
      </c>
      <c r="K406">
        <v>0.36522269699513848</v>
      </c>
    </row>
    <row r="407" spans="2:11" x14ac:dyDescent="0.25">
      <c r="B407">
        <v>0.66559999999999997</v>
      </c>
      <c r="C407">
        <v>0.74115186013541023</v>
      </c>
      <c r="D407">
        <v>0.50975908521601987</v>
      </c>
      <c r="E407">
        <v>0.1443165440028932</v>
      </c>
      <c r="F407">
        <v>0.69485104401396391</v>
      </c>
      <c r="G407">
        <v>0.38489965221516448</v>
      </c>
      <c r="H407">
        <v>0.72409885719328781</v>
      </c>
      <c r="I407">
        <v>5.1154661069778597E-2</v>
      </c>
      <c r="J407">
        <v>0.64998539582173398</v>
      </c>
      <c r="K407">
        <v>0.37583489348978688</v>
      </c>
    </row>
    <row r="408" spans="2:11" x14ac:dyDescent="0.25">
      <c r="B408">
        <v>0.71889999999999998</v>
      </c>
      <c r="C408">
        <v>0.7467629134964453</v>
      </c>
      <c r="D408">
        <v>0.52719787100177373</v>
      </c>
      <c r="E408">
        <v>0.16364413480518289</v>
      </c>
      <c r="F408">
        <v>0.69256776331854741</v>
      </c>
      <c r="G408">
        <v>0.40718548466651427</v>
      </c>
      <c r="H408">
        <v>0.70032186396564611</v>
      </c>
      <c r="I408">
        <v>6.5447390436631697E-2</v>
      </c>
      <c r="J408">
        <v>0.66383359889278826</v>
      </c>
      <c r="K408">
        <v>0.3959552312327716</v>
      </c>
    </row>
    <row r="410" spans="2:11" x14ac:dyDescent="0.25">
      <c r="B410" s="10" t="s">
        <v>79</v>
      </c>
      <c r="C410" s="10"/>
      <c r="D410" s="10"/>
      <c r="E410" s="10"/>
      <c r="F410" s="10"/>
      <c r="G410" s="10"/>
      <c r="H410" s="10"/>
      <c r="I410" s="10"/>
      <c r="J410" s="10"/>
      <c r="K410" s="10"/>
    </row>
    <row r="411" spans="2:11" x14ac:dyDescent="0.25">
      <c r="B411">
        <v>0.23960000000000001</v>
      </c>
      <c r="C411">
        <v>0.72223326238379848</v>
      </c>
      <c r="D411">
        <v>0.61735101703898299</v>
      </c>
      <c r="E411">
        <v>0.37454086293726069</v>
      </c>
      <c r="F411">
        <v>0.43911659272106129</v>
      </c>
      <c r="G411">
        <v>0.67327948517310032</v>
      </c>
      <c r="H411">
        <v>0.43136254221428028</v>
      </c>
      <c r="I411">
        <v>0.3119144747817858</v>
      </c>
      <c r="J411">
        <v>0.74369335115629809</v>
      </c>
      <c r="K411">
        <v>0.56460943224319637</v>
      </c>
    </row>
    <row r="412" spans="2:11" x14ac:dyDescent="0.25">
      <c r="B412">
        <v>0.29289999999999999</v>
      </c>
      <c r="C412">
        <v>0.76709258316538009</v>
      </c>
      <c r="D412">
        <v>0.60736955897752665</v>
      </c>
      <c r="E412">
        <v>0.33221978980291672</v>
      </c>
      <c r="F412">
        <v>0.4922271312373393</v>
      </c>
      <c r="G412">
        <v>0.61662782714777709</v>
      </c>
      <c r="H412">
        <v>0.48491361182549508</v>
      </c>
      <c r="I412">
        <v>0.2425437658347252</v>
      </c>
      <c r="J412">
        <v>0.75569663824810429</v>
      </c>
      <c r="K412">
        <v>0.53364531355214795</v>
      </c>
    </row>
    <row r="413" spans="2:11" x14ac:dyDescent="0.25">
      <c r="B413">
        <v>0.34610000000000002</v>
      </c>
      <c r="C413">
        <v>0.80461921461892205</v>
      </c>
      <c r="D413">
        <v>0.59064761886505446</v>
      </c>
      <c r="E413">
        <v>0.29174528229292518</v>
      </c>
      <c r="F413">
        <v>0.53463416349292825</v>
      </c>
      <c r="G413">
        <v>0.56909333926441252</v>
      </c>
      <c r="H413">
        <v>0.5423142830238582</v>
      </c>
      <c r="I413">
        <v>0.19142432561822439</v>
      </c>
      <c r="J413">
        <v>0.74749620364058722</v>
      </c>
      <c r="K413">
        <v>0.50058869385910099</v>
      </c>
    </row>
    <row r="414" spans="2:11" x14ac:dyDescent="0.25">
      <c r="B414">
        <v>0.39939999999999998</v>
      </c>
      <c r="C414">
        <v>0.81505433709126296</v>
      </c>
      <c r="D414">
        <v>0.56048331735346868</v>
      </c>
      <c r="E414">
        <v>0.2357790603064345</v>
      </c>
      <c r="F414">
        <v>0.58254555111570583</v>
      </c>
      <c r="G414">
        <v>0.49831164699291741</v>
      </c>
      <c r="H414">
        <v>0.60497811010126379</v>
      </c>
      <c r="I414">
        <v>0.12362918156351201</v>
      </c>
      <c r="J414">
        <v>0.7141732928188812</v>
      </c>
      <c r="K414">
        <v>0.45201823753907588</v>
      </c>
    </row>
    <row r="415" spans="2:11" x14ac:dyDescent="0.25">
      <c r="B415">
        <v>0.4526</v>
      </c>
      <c r="C415">
        <v>0.80704728102954648</v>
      </c>
      <c r="D415">
        <v>0.53519093653080929</v>
      </c>
      <c r="E415">
        <v>0.19711323938690389</v>
      </c>
      <c r="F415">
        <v>0.61325158585588668</v>
      </c>
      <c r="G415">
        <v>0.44939593169030012</v>
      </c>
      <c r="H415">
        <v>0.65308021637092695</v>
      </c>
      <c r="I415">
        <v>8.4720849281787802E-2</v>
      </c>
      <c r="J415">
        <v>0.68623331398546306</v>
      </c>
      <c r="K415">
        <v>0.41810400586252078</v>
      </c>
    </row>
    <row r="416" spans="2:11" x14ac:dyDescent="0.25">
      <c r="B416">
        <v>0.50590000000000002</v>
      </c>
      <c r="C416">
        <v>0.78100917928164582</v>
      </c>
      <c r="D416">
        <v>0.51616009020146003</v>
      </c>
      <c r="E416">
        <v>0.17502035130746321</v>
      </c>
      <c r="F416">
        <v>0.63635642755922095</v>
      </c>
      <c r="G416">
        <v>0.4122415982731607</v>
      </c>
      <c r="H416">
        <v>0.68997664258187608</v>
      </c>
      <c r="I416">
        <v>6.3490798323676906E-2</v>
      </c>
      <c r="J416">
        <v>0.65994558910780199</v>
      </c>
      <c r="K416">
        <v>0.39443963584280589</v>
      </c>
    </row>
    <row r="417" spans="2:11" x14ac:dyDescent="0.25">
      <c r="B417">
        <v>0.55910000000000004</v>
      </c>
      <c r="C417">
        <v>0.7466505179212336</v>
      </c>
      <c r="D417">
        <v>0.50420356703585145</v>
      </c>
      <c r="E417">
        <v>0.15178240911723309</v>
      </c>
      <c r="F417">
        <v>0.66453288401153443</v>
      </c>
      <c r="G417">
        <v>0.38369964089020719</v>
      </c>
      <c r="H417">
        <v>0.71874452309224035</v>
      </c>
      <c r="I417">
        <v>4.8425714648774897E-2</v>
      </c>
      <c r="J417">
        <v>0.64281700531724684</v>
      </c>
      <c r="K417">
        <v>0.37538692696860287</v>
      </c>
    </row>
    <row r="418" spans="2:11" x14ac:dyDescent="0.25">
      <c r="B418">
        <v>0.61240000000000006</v>
      </c>
      <c r="C418">
        <v>0.73529578274939034</v>
      </c>
      <c r="D418">
        <v>0.49658573315277571</v>
      </c>
      <c r="E418">
        <v>0.13939382887040869</v>
      </c>
      <c r="F418">
        <v>0.6806500544080939</v>
      </c>
      <c r="G418">
        <v>0.37424282367566453</v>
      </c>
      <c r="H418">
        <v>0.72835042523635662</v>
      </c>
      <c r="I418">
        <v>4.3004710522265198E-2</v>
      </c>
      <c r="J418">
        <v>0.63607989339342685</v>
      </c>
      <c r="K418">
        <v>0.36522269699513848</v>
      </c>
    </row>
    <row r="419" spans="2:11" x14ac:dyDescent="0.25">
      <c r="B419">
        <v>0.66559999999999997</v>
      </c>
      <c r="C419">
        <v>0.74115186013541023</v>
      </c>
      <c r="D419">
        <v>0.50975908521601987</v>
      </c>
      <c r="E419">
        <v>0.1443165440028932</v>
      </c>
      <c r="F419">
        <v>0.69485104401396391</v>
      </c>
      <c r="G419">
        <v>0.38489965221516448</v>
      </c>
      <c r="H419">
        <v>0.72409885719328781</v>
      </c>
      <c r="I419">
        <v>5.1154661069778597E-2</v>
      </c>
      <c r="J419">
        <v>0.64998539582173398</v>
      </c>
      <c r="K419">
        <v>0.37583489348978688</v>
      </c>
    </row>
    <row r="420" spans="2:11" x14ac:dyDescent="0.25">
      <c r="B420">
        <v>0.71889999999999998</v>
      </c>
      <c r="C420">
        <v>0.7467629134964453</v>
      </c>
      <c r="D420">
        <v>0.52719787100177373</v>
      </c>
      <c r="E420">
        <v>0.16364413480518289</v>
      </c>
      <c r="F420">
        <v>0.69256776331854741</v>
      </c>
      <c r="G420">
        <v>0.40718548466651427</v>
      </c>
      <c r="H420">
        <v>0.70032186396564611</v>
      </c>
      <c r="I420">
        <v>6.5447390436631697E-2</v>
      </c>
      <c r="J420">
        <v>0.66383359889278826</v>
      </c>
      <c r="K420">
        <v>0.3959552312327716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7E2C3-A7E9-450A-94EC-4B950D71E360}">
  <dimension ref="A1:BI231"/>
  <sheetViews>
    <sheetView tabSelected="1" topLeftCell="AR29" zoomScale="76" zoomScaleNormal="62" workbookViewId="0">
      <selection activeCell="BD39" sqref="BD39"/>
    </sheetView>
  </sheetViews>
  <sheetFormatPr defaultRowHeight="15" x14ac:dyDescent="0.25"/>
  <cols>
    <col min="25" max="25" width="14.5703125" customWidth="1"/>
    <col min="57" max="57" width="12.5703125" bestFit="1" customWidth="1"/>
  </cols>
  <sheetData>
    <row r="1" spans="1:56" x14ac:dyDescent="0.25">
      <c r="Z1" t="s">
        <v>29</v>
      </c>
    </row>
    <row r="3" spans="1:56" x14ac:dyDescent="0.25">
      <c r="A3" s="1"/>
      <c r="B3" s="1"/>
      <c r="C3" s="1"/>
      <c r="D3" s="1"/>
      <c r="E3" s="1"/>
      <c r="F3" s="1"/>
      <c r="G3" s="1"/>
      <c r="H3" s="1"/>
      <c r="I3" s="1"/>
      <c r="J3" s="1"/>
      <c r="M3" s="1"/>
      <c r="N3" s="1"/>
      <c r="O3" s="1"/>
      <c r="P3" s="1"/>
      <c r="Q3" s="1"/>
      <c r="R3" s="1"/>
      <c r="S3" s="1"/>
      <c r="T3" s="1"/>
      <c r="U3" s="1"/>
      <c r="V3" s="1"/>
      <c r="Y3" s="3"/>
      <c r="Z3" s="1"/>
      <c r="AA3" s="1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5" spans="1:56" x14ac:dyDescent="0.25">
      <c r="AD5" s="4"/>
      <c r="AG5" s="4"/>
      <c r="AI5" s="4"/>
      <c r="AQ5" s="4"/>
      <c r="AR5" s="4"/>
      <c r="AZ5" s="4"/>
      <c r="BA5" s="4"/>
    </row>
    <row r="6" spans="1:56" x14ac:dyDescent="0.25">
      <c r="AI6" s="4"/>
    </row>
    <row r="9" spans="1:56" x14ac:dyDescent="0.25">
      <c r="AD9" s="4"/>
      <c r="AI9" s="4"/>
      <c r="AJ9" s="4"/>
    </row>
    <row r="10" spans="1:56" x14ac:dyDescent="0.25">
      <c r="AD10" s="4"/>
      <c r="AG10" s="4"/>
      <c r="AI10" s="4"/>
      <c r="AJ10" s="4"/>
      <c r="AM10" s="4"/>
      <c r="AQ10" s="4"/>
      <c r="AR10" s="4"/>
      <c r="AS10" s="4"/>
      <c r="AT10" s="4"/>
      <c r="AU10" s="4"/>
      <c r="BB10" s="4"/>
    </row>
    <row r="11" spans="1:56" x14ac:dyDescent="0.25">
      <c r="AD11" s="4"/>
      <c r="AG11" s="4"/>
      <c r="AI11" s="4"/>
      <c r="AJ11" s="4"/>
      <c r="AM11" s="4"/>
      <c r="AQ11" s="4"/>
      <c r="AR11" s="4"/>
      <c r="AS11" s="4"/>
      <c r="AT11" s="4"/>
      <c r="AU11" s="4"/>
      <c r="BB11" s="4"/>
    </row>
    <row r="12" spans="1:56" x14ac:dyDescent="0.25">
      <c r="AC12" s="4"/>
      <c r="AD12" s="4"/>
      <c r="AG12" s="4"/>
      <c r="AI12" s="4"/>
      <c r="AQ12" s="4"/>
      <c r="AR12" s="4"/>
      <c r="BA12" s="4"/>
    </row>
    <row r="13" spans="1:56" x14ac:dyDescent="0.25">
      <c r="Z13" s="4"/>
      <c r="AA13" s="4"/>
      <c r="AB13" s="4"/>
      <c r="AE13" s="4"/>
      <c r="AF13" s="4"/>
      <c r="AK13" s="4"/>
      <c r="AL13" s="4"/>
      <c r="AN13" s="4"/>
      <c r="AO13" s="4"/>
      <c r="AP13" s="4"/>
      <c r="AW13" s="4"/>
      <c r="AX13" s="4"/>
      <c r="AY13" s="4"/>
      <c r="BC13" s="4"/>
    </row>
    <row r="16" spans="1:56" x14ac:dyDescent="0.25">
      <c r="AN16" t="s">
        <v>47</v>
      </c>
    </row>
    <row r="17" spans="13:57" x14ac:dyDescent="0.25">
      <c r="AB17" s="1"/>
      <c r="AC17" s="2"/>
      <c r="AF17" s="1"/>
      <c r="AG17" s="2"/>
    </row>
    <row r="18" spans="13:57" x14ac:dyDescent="0.25">
      <c r="BE18" s="5"/>
    </row>
    <row r="27" spans="13:57" x14ac:dyDescent="0.25">
      <c r="M27" s="1"/>
      <c r="N27" s="1"/>
      <c r="O27" s="1"/>
      <c r="P27" s="1"/>
      <c r="Q27" s="1"/>
      <c r="R27" s="1"/>
      <c r="S27" s="1"/>
      <c r="T27" s="1"/>
      <c r="U27" s="1"/>
      <c r="V27" s="1"/>
    </row>
    <row r="32" spans="13:57" x14ac:dyDescent="0.25">
      <c r="AA32" s="4"/>
    </row>
    <row r="37" spans="13:61" x14ac:dyDescent="0.25">
      <c r="Y37" s="3" t="s">
        <v>30</v>
      </c>
      <c r="Z37" s="1" t="s">
        <v>10</v>
      </c>
      <c r="AA37" s="1" t="s">
        <v>9</v>
      </c>
      <c r="AB37" s="2" t="s">
        <v>31</v>
      </c>
      <c r="AC37" s="2" t="s">
        <v>33</v>
      </c>
      <c r="AD37" s="2" t="s">
        <v>32</v>
      </c>
      <c r="AE37" s="2" t="s">
        <v>28</v>
      </c>
      <c r="AF37" s="2" t="s">
        <v>34</v>
      </c>
      <c r="AG37" s="2" t="s">
        <v>11</v>
      </c>
      <c r="AH37" s="2" t="s">
        <v>36</v>
      </c>
      <c r="AI37" s="2" t="s">
        <v>35</v>
      </c>
      <c r="AJ37" s="2" t="s">
        <v>37</v>
      </c>
      <c r="AK37" s="2" t="s">
        <v>38</v>
      </c>
      <c r="AL37" s="2" t="s">
        <v>12</v>
      </c>
      <c r="AM37" s="2" t="s">
        <v>39</v>
      </c>
      <c r="AN37" s="2" t="s">
        <v>13</v>
      </c>
      <c r="AO37" s="2" t="s">
        <v>27</v>
      </c>
      <c r="AP37" s="2" t="s">
        <v>26</v>
      </c>
      <c r="AQ37" s="2" t="s">
        <v>25</v>
      </c>
      <c r="AR37" s="2" t="s">
        <v>40</v>
      </c>
      <c r="AS37" s="2" t="s">
        <v>41</v>
      </c>
      <c r="AT37" s="2" t="s">
        <v>42</v>
      </c>
      <c r="AU37" s="2" t="s">
        <v>48</v>
      </c>
      <c r="AV37" s="2" t="s">
        <v>43</v>
      </c>
      <c r="AW37" s="2" t="s">
        <v>24</v>
      </c>
      <c r="AX37" s="2" t="s">
        <v>44</v>
      </c>
      <c r="AY37" s="2" t="s">
        <v>14</v>
      </c>
      <c r="AZ37" s="2" t="s">
        <v>15</v>
      </c>
      <c r="BA37" s="2" t="s">
        <v>16</v>
      </c>
      <c r="BB37" s="2" t="s">
        <v>45</v>
      </c>
      <c r="BC37" s="2" t="s">
        <v>46</v>
      </c>
      <c r="BG37" t="s">
        <v>52</v>
      </c>
    </row>
    <row r="39" spans="13:61" x14ac:dyDescent="0.25">
      <c r="M39" s="1"/>
      <c r="N39" s="1"/>
      <c r="O39" s="1"/>
      <c r="P39" s="1"/>
      <c r="Q39" s="1"/>
      <c r="R39" s="1"/>
      <c r="S39" s="1"/>
      <c r="T39" s="1"/>
      <c r="U39" s="1"/>
      <c r="V39" s="1"/>
      <c r="Y39" t="s">
        <v>1</v>
      </c>
      <c r="Z39">
        <v>0.66666666666666663</v>
      </c>
      <c r="AA39">
        <v>0.828125</v>
      </c>
      <c r="AB39">
        <v>0.83222958057395147</v>
      </c>
      <c r="AC39">
        <v>0.99924999999999997</v>
      </c>
      <c r="AD39" s="4">
        <v>1</v>
      </c>
      <c r="AE39">
        <v>0.75</v>
      </c>
      <c r="AF39">
        <v>0.88095238095238093</v>
      </c>
      <c r="AG39" s="4">
        <v>1</v>
      </c>
      <c r="AH39">
        <v>0.89516129032258063</v>
      </c>
      <c r="AI39">
        <v>0.79819277108433695</v>
      </c>
      <c r="AJ39">
        <v>0.34146341463414631</v>
      </c>
      <c r="AK39">
        <v>0.96464646464646464</v>
      </c>
      <c r="AL39">
        <v>0.88406695598264107</v>
      </c>
      <c r="AM39">
        <v>0.91566265060240959</v>
      </c>
      <c r="AN39">
        <v>0.94444444444444442</v>
      </c>
      <c r="AO39">
        <v>0.89271255060728749</v>
      </c>
      <c r="AP39" s="4">
        <v>0.97280966767371602</v>
      </c>
      <c r="AQ39" s="4">
        <v>0.98248175182481756</v>
      </c>
      <c r="AR39">
        <v>0.82688927943760981</v>
      </c>
      <c r="AS39">
        <v>0.31431005110732541</v>
      </c>
      <c r="AT39">
        <v>0.90322580645161277</v>
      </c>
      <c r="AU39">
        <v>0.97112608277189605</v>
      </c>
      <c r="AV39">
        <v>0.76041666699999999</v>
      </c>
      <c r="AW39">
        <v>0.6622864651773982</v>
      </c>
      <c r="AX39">
        <v>0.95161290322580638</v>
      </c>
      <c r="AY39" s="4">
        <v>0.99475065616797897</v>
      </c>
      <c r="AZ39" s="4">
        <v>0.99064449064449078</v>
      </c>
      <c r="BA39">
        <v>0.9493813273340832</v>
      </c>
      <c r="BB39">
        <v>0.94871794899999995</v>
      </c>
      <c r="BC39">
        <f>AVERAGE(Z39:BB39)</f>
        <v>0.85593887132186386</v>
      </c>
      <c r="BD39">
        <f>MIN(Z39:BB39)</f>
        <v>0.31431005110732541</v>
      </c>
      <c r="BE39">
        <f>MAX(Z39:BB39)</f>
        <v>1</v>
      </c>
      <c r="BG39">
        <f>0.906-BC39</f>
        <v>5.0061128678136169E-2</v>
      </c>
      <c r="BH39">
        <f>BG39/BC39</f>
        <v>5.8486803620478853E-2</v>
      </c>
      <c r="BI39">
        <f>BH39*100</f>
        <v>5.8486803620478849</v>
      </c>
    </row>
    <row r="40" spans="13:61" x14ac:dyDescent="0.25">
      <c r="Y40" t="s">
        <v>19</v>
      </c>
      <c r="Z40">
        <v>0.40476190476190471</v>
      </c>
      <c r="AA40">
        <v>0.453125</v>
      </c>
      <c r="AB40">
        <v>0.6556291390728477</v>
      </c>
      <c r="AC40">
        <v>0.98410174880763124</v>
      </c>
      <c r="AD40">
        <v>0.98151950718685843</v>
      </c>
      <c r="AE40">
        <v>0.65625999999999995</v>
      </c>
      <c r="AF40">
        <v>0.8571428571428571</v>
      </c>
      <c r="AG40">
        <v>0.96799999999999997</v>
      </c>
      <c r="AH40">
        <v>0.62419354838709673</v>
      </c>
      <c r="AI40">
        <v>0.5512048192771084</v>
      </c>
      <c r="AJ40">
        <v>0.33536585365853661</v>
      </c>
      <c r="AK40">
        <v>0.89393939393939392</v>
      </c>
      <c r="AL40">
        <v>0.60384376937383755</v>
      </c>
      <c r="AM40">
        <v>0.62650602409638556</v>
      </c>
      <c r="AN40">
        <v>0.41111111111111109</v>
      </c>
      <c r="AO40">
        <v>0.52834008097165996</v>
      </c>
      <c r="AP40">
        <v>0.83534743202416917</v>
      </c>
      <c r="AQ40">
        <v>0.90656934306569359</v>
      </c>
      <c r="AR40">
        <v>0.51669595782073818</v>
      </c>
      <c r="AS40">
        <v>0.1771720613287904</v>
      </c>
      <c r="AT40">
        <v>0.50403225806451613</v>
      </c>
      <c r="AU40">
        <v>0.71992300288739175</v>
      </c>
      <c r="AV40">
        <v>0.32291666699999999</v>
      </c>
      <c r="AW40">
        <v>0.31011826544021021</v>
      </c>
      <c r="AX40">
        <v>0.87096774193548387</v>
      </c>
      <c r="AY40">
        <v>0.90944881889763785</v>
      </c>
      <c r="AZ40">
        <v>0.93035343035343043</v>
      </c>
      <c r="BA40">
        <v>0.72665916760404947</v>
      </c>
      <c r="BB40">
        <v>0.94871794899999995</v>
      </c>
      <c r="BC40">
        <f>AVERAGE(Z40:BB40)</f>
        <v>0.66255058114514953</v>
      </c>
      <c r="BD40">
        <f t="shared" ref="BD40:BD47" si="0">MIN(Z40:BB40)</f>
        <v>0.1771720613287904</v>
      </c>
      <c r="BE40">
        <f t="shared" ref="BE40:BE47" si="1">MAX(Z40:BB40)</f>
        <v>0.98410174880763124</v>
      </c>
      <c r="BG40">
        <f>0.906-BC40</f>
        <v>0.2434494188548505</v>
      </c>
      <c r="BH40">
        <f t="shared" ref="BH40:BH47" si="2">BG40/BC40</f>
        <v>0.36744276706251405</v>
      </c>
      <c r="BI40">
        <f t="shared" ref="BI40:BI47" si="3">BH40*100</f>
        <v>36.744276706251405</v>
      </c>
    </row>
    <row r="41" spans="13:61" x14ac:dyDescent="0.25">
      <c r="Y41" t="s">
        <v>20</v>
      </c>
      <c r="Z41">
        <v>0.5714285714285714</v>
      </c>
      <c r="AA41">
        <v>0.640625</v>
      </c>
      <c r="AB41">
        <v>0.54966887417218546</v>
      </c>
      <c r="AC41">
        <v>0.71939586645469</v>
      </c>
      <c r="AD41">
        <v>0.49281314168377821</v>
      </c>
      <c r="AE41">
        <v>0.71875</v>
      </c>
      <c r="AF41">
        <v>0.73809523809523814</v>
      </c>
      <c r="AG41">
        <v>0.97599999999999998</v>
      </c>
      <c r="AH41">
        <v>0.75806451612903225</v>
      </c>
      <c r="AI41">
        <v>0.58132530120481929</v>
      </c>
      <c r="AJ41">
        <v>9.1463414634146298E-2</v>
      </c>
      <c r="AK41">
        <v>0.64141414141414144</v>
      </c>
      <c r="AL41">
        <v>0.48729076255424669</v>
      </c>
      <c r="AM41">
        <v>0.90361445783132521</v>
      </c>
      <c r="AN41">
        <v>0.88888888888888884</v>
      </c>
      <c r="AO41">
        <v>0.82186234817813764</v>
      </c>
      <c r="AP41">
        <v>0.8987915407854985</v>
      </c>
      <c r="AQ41">
        <v>0.85839416058394158</v>
      </c>
      <c r="AR41">
        <v>0.36906854130052719</v>
      </c>
      <c r="AS41">
        <v>0.1899488926746167</v>
      </c>
      <c r="AT41">
        <v>0.80846774193548387</v>
      </c>
      <c r="AU41">
        <v>0.39364773820981708</v>
      </c>
      <c r="AV41">
        <v>0.70833333300000001</v>
      </c>
      <c r="AW41">
        <v>0.60972404730617613</v>
      </c>
      <c r="AX41">
        <v>0.69354838709677424</v>
      </c>
      <c r="AY41">
        <v>0.60892388451443569</v>
      </c>
      <c r="AZ41">
        <v>0.63825363825363823</v>
      </c>
      <c r="BA41">
        <v>0.78290213723284585</v>
      </c>
      <c r="BB41">
        <v>0.38461538499999998</v>
      </c>
      <c r="BC41">
        <f t="shared" ref="BC41:BC47" si="4">AVERAGE(Z41:BB41)</f>
        <v>0.63880413622630883</v>
      </c>
      <c r="BD41">
        <f t="shared" si="0"/>
        <v>9.1463414634146298E-2</v>
      </c>
      <c r="BE41">
        <f t="shared" si="1"/>
        <v>0.97599999999999998</v>
      </c>
      <c r="BG41">
        <f t="shared" ref="BG41:BG46" si="5">0.906-BC41</f>
        <v>0.2671958637736912</v>
      </c>
      <c r="BH41">
        <f t="shared" si="2"/>
        <v>0.41827509970760718</v>
      </c>
      <c r="BI41">
        <f t="shared" si="3"/>
        <v>41.827509970760715</v>
      </c>
    </row>
    <row r="42" spans="13:61" x14ac:dyDescent="0.25">
      <c r="Y42" t="s">
        <v>21</v>
      </c>
      <c r="Z42">
        <v>0.30952380952380948</v>
      </c>
      <c r="AA42">
        <v>0.21875</v>
      </c>
      <c r="AB42">
        <v>8.83002207505518E-2</v>
      </c>
      <c r="AC42">
        <v>5.5643879173290903E-2</v>
      </c>
      <c r="AD42">
        <v>0.49486652977412732</v>
      </c>
      <c r="AE42">
        <v>9.375E-2</v>
      </c>
      <c r="AF42">
        <v>9.5238095238095205E-2</v>
      </c>
      <c r="AG42">
        <v>0.04</v>
      </c>
      <c r="AH42">
        <v>6.6129032258064505E-2</v>
      </c>
      <c r="AI42">
        <v>0.1746987951807229</v>
      </c>
      <c r="AJ42">
        <v>9.1463414634146298E-2</v>
      </c>
      <c r="AK42">
        <v>0.31313131313131309</v>
      </c>
      <c r="AL42">
        <v>2.1698698078115301E-2</v>
      </c>
      <c r="AM42">
        <v>4.8192771084337303E-2</v>
      </c>
      <c r="AN42">
        <v>3.3333333333333298E-2</v>
      </c>
      <c r="AO42">
        <v>1.8218623481781299E-2</v>
      </c>
      <c r="AP42">
        <v>1.35951661631419E-2</v>
      </c>
      <c r="AQ42">
        <v>1.75182481751824E-2</v>
      </c>
      <c r="AR42">
        <v>1.23022847100175E-2</v>
      </c>
      <c r="AS42">
        <v>3.6626916524701798E-2</v>
      </c>
      <c r="AT42">
        <v>3.2258064516128997E-2</v>
      </c>
      <c r="AU42">
        <v>8.6621751684311001E-3</v>
      </c>
      <c r="AV42">
        <v>9.375E-2</v>
      </c>
      <c r="AW42">
        <v>3.4165571616294299E-2</v>
      </c>
      <c r="AX42">
        <v>0.19354838709677419</v>
      </c>
      <c r="AY42">
        <v>0.17979002624671911</v>
      </c>
      <c r="AZ42">
        <v>0.1434511434511434</v>
      </c>
      <c r="BA42">
        <v>4.8368953880764898E-2</v>
      </c>
      <c r="BB42">
        <v>0.35897435900000002</v>
      </c>
      <c r="BC42">
        <f t="shared" si="4"/>
        <v>0.11503275214451682</v>
      </c>
      <c r="BD42">
        <f t="shared" si="0"/>
        <v>8.6621751684311001E-3</v>
      </c>
      <c r="BE42">
        <f t="shared" si="1"/>
        <v>0.49486652977412732</v>
      </c>
      <c r="BG42">
        <f t="shared" si="5"/>
        <v>0.79096724785548322</v>
      </c>
      <c r="BH42">
        <f t="shared" si="2"/>
        <v>6.8760177698068379</v>
      </c>
      <c r="BI42">
        <f t="shared" si="3"/>
        <v>687.60177698068378</v>
      </c>
    </row>
    <row r="43" spans="13:61" x14ac:dyDescent="0.25">
      <c r="Y43" t="s">
        <v>22</v>
      </c>
      <c r="Z43">
        <v>0.66666666666666663</v>
      </c>
      <c r="AA43">
        <v>0.84375</v>
      </c>
      <c r="AB43">
        <v>0.90066225165562919</v>
      </c>
      <c r="AC43">
        <v>0.95786963434022243</v>
      </c>
      <c r="AD43" s="4">
        <v>1</v>
      </c>
      <c r="AE43">
        <v>0.75</v>
      </c>
      <c r="AF43">
        <v>0.90476190476190477</v>
      </c>
      <c r="AG43">
        <v>0.84</v>
      </c>
      <c r="AH43">
        <v>0.8887096774193548</v>
      </c>
      <c r="AI43" s="4">
        <v>0.83132530120481929</v>
      </c>
      <c r="AJ43">
        <v>0.35365853658536578</v>
      </c>
      <c r="AK43">
        <v>0.96464646464646464</v>
      </c>
      <c r="AL43">
        <v>0.87414755114693121</v>
      </c>
      <c r="AM43">
        <v>0.91566265060240959</v>
      </c>
      <c r="AN43">
        <v>0.9555555555555556</v>
      </c>
      <c r="AO43">
        <v>0.89068825910931171</v>
      </c>
      <c r="AP43">
        <v>0.88368580060422963</v>
      </c>
      <c r="AQ43">
        <v>0.91240875912408759</v>
      </c>
      <c r="AR43">
        <v>0.78998242530755713</v>
      </c>
      <c r="AS43">
        <v>0.23764906303236791</v>
      </c>
      <c r="AT43">
        <v>0.88104838709677424</v>
      </c>
      <c r="AU43">
        <v>0.95091434071222325</v>
      </c>
      <c r="AV43">
        <v>0.77083333300000001</v>
      </c>
      <c r="AW43">
        <v>0.6741130091984231</v>
      </c>
      <c r="AX43">
        <v>0.967741935483871</v>
      </c>
      <c r="AY43">
        <v>0.99737532808398965</v>
      </c>
      <c r="AZ43">
        <v>0.99272349272349281</v>
      </c>
      <c r="BA43">
        <v>0.95050618672665921</v>
      </c>
      <c r="BB43">
        <v>0.94871794899999995</v>
      </c>
      <c r="BC43">
        <f t="shared" si="4"/>
        <v>0.84468291254442451</v>
      </c>
      <c r="BD43">
        <f t="shared" si="0"/>
        <v>0.23764906303236791</v>
      </c>
      <c r="BE43">
        <f t="shared" si="1"/>
        <v>1</v>
      </c>
      <c r="BG43">
        <f t="shared" si="5"/>
        <v>6.1317087455575514E-2</v>
      </c>
      <c r="BH43">
        <f t="shared" si="2"/>
        <v>7.2591840730944893E-2</v>
      </c>
      <c r="BI43">
        <f t="shared" si="3"/>
        <v>7.259184073094489</v>
      </c>
    </row>
    <row r="44" spans="13:61" x14ac:dyDescent="0.25">
      <c r="Y44" t="s">
        <v>23</v>
      </c>
      <c r="Z44">
        <v>0.66666666666666663</v>
      </c>
      <c r="AA44">
        <v>0.84375</v>
      </c>
      <c r="AB44">
        <v>0.91169977924944801</v>
      </c>
      <c r="AC44">
        <v>0.99761526232114484</v>
      </c>
      <c r="AD44" s="4">
        <v>1</v>
      </c>
      <c r="AE44">
        <v>0.75</v>
      </c>
      <c r="AF44">
        <v>0.90476190476190477</v>
      </c>
      <c r="AG44" s="4">
        <v>1</v>
      </c>
      <c r="AH44">
        <v>0.9048387096774192</v>
      </c>
      <c r="AI44" s="4">
        <v>0.83132530120481929</v>
      </c>
      <c r="AJ44">
        <v>0.35365853658536578</v>
      </c>
      <c r="AK44">
        <v>0.96464646464646464</v>
      </c>
      <c r="AL44" s="4">
        <v>0.92808431494110355</v>
      </c>
      <c r="AM44">
        <v>0.91566265060240959</v>
      </c>
      <c r="AN44">
        <v>0.9555555555555556</v>
      </c>
      <c r="AO44">
        <v>0.89473684210526316</v>
      </c>
      <c r="AP44" s="4">
        <v>0.97280966767371602</v>
      </c>
      <c r="AQ44" s="4">
        <v>0.98248175182481756</v>
      </c>
      <c r="AR44" s="4">
        <v>0.89455184534270649</v>
      </c>
      <c r="AS44" s="4">
        <v>0.34752981260647359</v>
      </c>
      <c r="AT44" s="4">
        <v>0.91330645161290325</v>
      </c>
      <c r="AU44">
        <v>0.99326275264677577</v>
      </c>
      <c r="AV44">
        <v>0.77083333300000001</v>
      </c>
      <c r="AW44">
        <v>0.67674113009198422</v>
      </c>
      <c r="AX44">
        <v>0.967741935483871</v>
      </c>
      <c r="AY44">
        <v>0.99606299212598437</v>
      </c>
      <c r="AZ44">
        <v>0.99168399168399157</v>
      </c>
      <c r="BA44" s="4">
        <v>0.95613048368953879</v>
      </c>
      <c r="BB44">
        <v>0.94871794899999995</v>
      </c>
      <c r="BC44">
        <f t="shared" si="4"/>
        <v>0.87016745121035621</v>
      </c>
      <c r="BD44">
        <f t="shared" si="0"/>
        <v>0.34752981260647359</v>
      </c>
      <c r="BE44">
        <f t="shared" si="1"/>
        <v>1</v>
      </c>
      <c r="BG44">
        <f t="shared" si="5"/>
        <v>3.5832548789643814E-2</v>
      </c>
      <c r="BH44">
        <f t="shared" si="2"/>
        <v>4.1178911874723265E-2</v>
      </c>
      <c r="BI44">
        <f t="shared" si="3"/>
        <v>4.1178911874723267</v>
      </c>
    </row>
    <row r="45" spans="13:61" x14ac:dyDescent="0.25">
      <c r="Y45" t="s">
        <v>7</v>
      </c>
      <c r="Z45">
        <v>0.66666666666666663</v>
      </c>
      <c r="AA45">
        <v>0.84375</v>
      </c>
      <c r="AB45">
        <v>0.92273730684326716</v>
      </c>
      <c r="AC45">
        <v>1</v>
      </c>
      <c r="AD45" s="4">
        <v>1</v>
      </c>
      <c r="AE45">
        <v>0.75</v>
      </c>
      <c r="AF45">
        <v>0.90476190476190477</v>
      </c>
      <c r="AG45" s="4">
        <v>1</v>
      </c>
      <c r="AH45">
        <v>0.9048387096774192</v>
      </c>
      <c r="AI45" s="4">
        <v>0.83132530120481929</v>
      </c>
      <c r="AJ45">
        <v>0.35365853658536578</v>
      </c>
      <c r="AK45">
        <v>0.96464646464646464</v>
      </c>
      <c r="AL45" s="4">
        <v>0.92808431494110355</v>
      </c>
      <c r="AM45">
        <v>0.91566265060240959</v>
      </c>
      <c r="AN45">
        <v>0.9555555555555556</v>
      </c>
      <c r="AO45">
        <v>0.89473684210526316</v>
      </c>
      <c r="AP45" s="4">
        <v>0.97280966767371602</v>
      </c>
      <c r="AQ45" s="4">
        <v>0.98248175182481756</v>
      </c>
      <c r="AR45" s="4">
        <v>0.89455184534270649</v>
      </c>
      <c r="AS45" s="4">
        <v>0.34752981260647359</v>
      </c>
      <c r="AT45" s="4">
        <v>0.91330645161290325</v>
      </c>
      <c r="AU45">
        <v>0.99326275264677577</v>
      </c>
      <c r="AV45">
        <v>0.77083333300000001</v>
      </c>
      <c r="AW45">
        <v>0.67674113009198422</v>
      </c>
      <c r="AX45">
        <v>0.967741935483871</v>
      </c>
      <c r="AY45">
        <v>0.99737532808398965</v>
      </c>
      <c r="AZ45">
        <v>0.99272349272349281</v>
      </c>
      <c r="BA45" s="4">
        <v>0.95613048368953879</v>
      </c>
      <c r="BB45">
        <v>0.94871794899999995</v>
      </c>
      <c r="BC45">
        <f t="shared" si="4"/>
        <v>0.87071138577139684</v>
      </c>
      <c r="BD45">
        <f t="shared" si="0"/>
        <v>0.34752981260647359</v>
      </c>
      <c r="BE45">
        <f t="shared" si="1"/>
        <v>1</v>
      </c>
      <c r="BG45">
        <f t="shared" si="5"/>
        <v>3.5288614228603188E-2</v>
      </c>
      <c r="BH45">
        <f t="shared" si="2"/>
        <v>4.0528486023344738E-2</v>
      </c>
      <c r="BI45">
        <f t="shared" si="3"/>
        <v>4.0528486023344739</v>
      </c>
    </row>
    <row r="46" spans="13:61" x14ac:dyDescent="0.25">
      <c r="Y46" t="s">
        <v>8</v>
      </c>
      <c r="Z46">
        <v>0.66666666666666663</v>
      </c>
      <c r="AA46">
        <v>0.828125</v>
      </c>
      <c r="AB46">
        <v>0.83222958057395147</v>
      </c>
      <c r="AC46" s="4">
        <v>0.99920508744038161</v>
      </c>
      <c r="AD46" s="4">
        <v>1</v>
      </c>
      <c r="AE46">
        <v>0.75</v>
      </c>
      <c r="AF46">
        <v>0.88095238095238093</v>
      </c>
      <c r="AG46" s="4">
        <v>1</v>
      </c>
      <c r="AH46">
        <v>0.89516129032258063</v>
      </c>
      <c r="AI46">
        <v>0.79819277108433739</v>
      </c>
      <c r="AJ46">
        <v>0.34146341463414631</v>
      </c>
      <c r="AK46">
        <v>0.96464646464646464</v>
      </c>
      <c r="AL46">
        <v>0.88406695598264107</v>
      </c>
      <c r="AM46">
        <v>0.91566265060240959</v>
      </c>
      <c r="AN46">
        <v>0.94444444444444442</v>
      </c>
      <c r="AO46">
        <v>0.89271255060728749</v>
      </c>
      <c r="AP46" s="4">
        <v>0.97280966767371602</v>
      </c>
      <c r="AQ46" s="4">
        <v>0.98248175182481756</v>
      </c>
      <c r="AR46">
        <v>0.82688927943760981</v>
      </c>
      <c r="AS46">
        <v>0.31431005110732541</v>
      </c>
      <c r="AT46">
        <v>0.90322580645161277</v>
      </c>
      <c r="AU46">
        <v>0.97112608277189605</v>
      </c>
      <c r="AV46">
        <v>0.76041666699999999</v>
      </c>
      <c r="AW46">
        <v>0.6622864651773982</v>
      </c>
      <c r="AX46">
        <v>0.95161290322580638</v>
      </c>
      <c r="AY46">
        <v>0.99475065616797897</v>
      </c>
      <c r="AZ46" s="4">
        <v>0.99064449064449078</v>
      </c>
      <c r="BA46">
        <v>0.9493813273340832</v>
      </c>
      <c r="BB46">
        <v>0.94871794899999995</v>
      </c>
      <c r="BC46">
        <f t="shared" si="4"/>
        <v>0.85593732261291156</v>
      </c>
      <c r="BD46">
        <f t="shared" si="0"/>
        <v>0.31431005110732541</v>
      </c>
      <c r="BE46">
        <f t="shared" si="1"/>
        <v>1</v>
      </c>
      <c r="BG46">
        <f t="shared" si="5"/>
        <v>5.0062677387088472E-2</v>
      </c>
      <c r="BH46">
        <f t="shared" si="2"/>
        <v>5.8488718816773436E-2</v>
      </c>
      <c r="BI46">
        <f t="shared" si="3"/>
        <v>5.8488718816773435</v>
      </c>
    </row>
    <row r="47" spans="13:61" x14ac:dyDescent="0.25">
      <c r="Y47" t="s">
        <v>0</v>
      </c>
      <c r="Z47" s="4">
        <v>0.97619047619047616</v>
      </c>
      <c r="AA47" s="4">
        <v>0.953125</v>
      </c>
      <c r="AB47" s="4">
        <v>0.87637969094922741</v>
      </c>
      <c r="AC47">
        <v>0.90779014308426076</v>
      </c>
      <c r="AD47">
        <v>0.98562628336755642</v>
      </c>
      <c r="AE47" s="4">
        <v>1</v>
      </c>
      <c r="AF47" s="4">
        <v>0.97619047619047616</v>
      </c>
      <c r="AG47">
        <v>0.99199999999999999</v>
      </c>
      <c r="AH47">
        <v>0.85322580645161294</v>
      </c>
      <c r="AI47">
        <v>0.81927710843373491</v>
      </c>
      <c r="AJ47" s="4">
        <v>0.92073170731707321</v>
      </c>
      <c r="AK47" s="4">
        <v>0.97474747474747481</v>
      </c>
      <c r="AL47">
        <v>0.85182889026658404</v>
      </c>
      <c r="AM47" s="4">
        <v>1</v>
      </c>
      <c r="AN47" s="4">
        <v>0.97777777777777763</v>
      </c>
      <c r="AO47" s="4">
        <v>0.90688259109311742</v>
      </c>
      <c r="AP47">
        <v>0.93353474320241681</v>
      </c>
      <c r="AQ47">
        <v>0.94014598540145999</v>
      </c>
      <c r="AR47">
        <v>0.87961335676625663</v>
      </c>
      <c r="AS47">
        <v>0.33219761499148209</v>
      </c>
      <c r="AT47">
        <v>0.89516129032258063</v>
      </c>
      <c r="AU47">
        <v>0.92200000000000004</v>
      </c>
      <c r="AV47" s="4">
        <v>0.9375</v>
      </c>
      <c r="AW47" s="4">
        <v>0.67542706964520371</v>
      </c>
      <c r="AX47" s="4">
        <v>1</v>
      </c>
      <c r="AY47">
        <v>0.94881889763779503</v>
      </c>
      <c r="AZ47">
        <v>0.95322245322245325</v>
      </c>
      <c r="BA47">
        <v>0.91113610798650158</v>
      </c>
      <c r="BB47" s="4">
        <v>0.97435897400000004</v>
      </c>
      <c r="BC47">
        <f t="shared" si="4"/>
        <v>0.90603068686363852</v>
      </c>
      <c r="BD47">
        <f t="shared" si="0"/>
        <v>0.33219761499148209</v>
      </c>
      <c r="BE47">
        <f t="shared" si="1"/>
        <v>1</v>
      </c>
      <c r="BF47" t="s">
        <v>53</v>
      </c>
      <c r="BG47">
        <f>AVERAGE(BG39:BG46)</f>
        <v>0.19177182337788404</v>
      </c>
      <c r="BH47">
        <f t="shared" si="2"/>
        <v>0.21166151009932241</v>
      </c>
      <c r="BI47">
        <f t="shared" si="3"/>
        <v>21.166151009932239</v>
      </c>
    </row>
    <row r="48" spans="13:61" x14ac:dyDescent="0.25">
      <c r="BC48" t="s">
        <v>46</v>
      </c>
      <c r="BD48" t="s">
        <v>54</v>
      </c>
    </row>
    <row r="49" spans="13:56" x14ac:dyDescent="0.25">
      <c r="Y49" t="s">
        <v>1</v>
      </c>
      <c r="Z49">
        <f>0.9762-Z39</f>
        <v>0.30953333333333333</v>
      </c>
      <c r="AA49">
        <f>0.9531-AA39</f>
        <v>0.12497499999999995</v>
      </c>
      <c r="AB49">
        <f>0.8764-AB39</f>
        <v>4.4170419426048491E-2</v>
      </c>
      <c r="AC49">
        <f>0.9078-AC39</f>
        <v>-9.144999999999992E-2</v>
      </c>
      <c r="AD49">
        <f>0.9856-AD39</f>
        <v>-1.4399999999999968E-2</v>
      </c>
      <c r="AE49">
        <f>1-AE39</f>
        <v>0.25</v>
      </c>
      <c r="AF49">
        <f>0.9762-AF39</f>
        <v>9.5247619047619025E-2</v>
      </c>
      <c r="AG49">
        <f>0.992-AG39</f>
        <v>-8.0000000000000071E-3</v>
      </c>
      <c r="AH49">
        <f>0.8532-AH39</f>
        <v>-4.1961290322580669E-2</v>
      </c>
      <c r="AI49">
        <f>0.8193-AI39</f>
        <v>2.1107228915663079E-2</v>
      </c>
      <c r="AJ49">
        <f>0.9207-AJ39</f>
        <v>0.57923658536585365</v>
      </c>
      <c r="AK49">
        <f>0.9747-AK39</f>
        <v>1.005353535353537E-2</v>
      </c>
      <c r="AL49">
        <f>0.8518-AL39</f>
        <v>-3.2266955982641066E-2</v>
      </c>
      <c r="AM49">
        <f>1-AM39</f>
        <v>8.4337349397590411E-2</v>
      </c>
      <c r="AN49">
        <f>0.9778-AN39</f>
        <v>3.3355555555555583E-2</v>
      </c>
      <c r="AO49">
        <f>0.9069-AO39</f>
        <v>1.4187449392712548E-2</v>
      </c>
      <c r="AP49">
        <f>0.9335-AP39</f>
        <v>-3.930966767371602E-2</v>
      </c>
      <c r="AQ49">
        <f>0.9401-AQ39</f>
        <v>-4.2381751824817515E-2</v>
      </c>
      <c r="AR49">
        <f>0.8796-AR39</f>
        <v>5.2710720562390234E-2</v>
      </c>
      <c r="AS49">
        <f>0.3322-AS39</f>
        <v>1.788994889267459E-2</v>
      </c>
      <c r="AT49">
        <f>0.8952-AT39</f>
        <v>-8.0258064516127714E-3</v>
      </c>
      <c r="AU49">
        <f>0.922-AU39</f>
        <v>-4.9126082771896007E-2</v>
      </c>
      <c r="AV49">
        <f>0.9375-AV39</f>
        <v>0.17708333300000001</v>
      </c>
      <c r="AW49">
        <f>0.6754-AW39</f>
        <v>1.3113534822601802E-2</v>
      </c>
      <c r="AX49">
        <f>1-AX39</f>
        <v>4.8387096774193616E-2</v>
      </c>
      <c r="AY49">
        <f>0.948818897637795-AY39</f>
        <v>-4.5931758530183942E-2</v>
      </c>
      <c r="AZ49">
        <f>0.9532-AZ39</f>
        <v>-3.7444490644490735E-2</v>
      </c>
      <c r="BA49">
        <f>0.9111-BA39</f>
        <v>-3.8281327334083182E-2</v>
      </c>
      <c r="BB49">
        <f>0.9744-BB39</f>
        <v>2.5682051000000095E-2</v>
      </c>
      <c r="BC49">
        <f>AVERAGE(Z49:BB49)</f>
        <v>5.0085918251853455E-2</v>
      </c>
      <c r="BD49">
        <f>BC49*100</f>
        <v>5.0085918251853458</v>
      </c>
    </row>
    <row r="50" spans="13:56" x14ac:dyDescent="0.25">
      <c r="Y50" t="s">
        <v>19</v>
      </c>
      <c r="Z50">
        <f t="shared" ref="Z50:Z56" si="6">0.9762-Z40</f>
        <v>0.5714380952380953</v>
      </c>
      <c r="AA50">
        <f t="shared" ref="AA50:AA56" si="7">0.9531-AA40</f>
        <v>0.49997499999999995</v>
      </c>
      <c r="AB50">
        <f t="shared" ref="AB50:AB56" si="8">0.8764-AB40</f>
        <v>0.22077086092715226</v>
      </c>
      <c r="AC50">
        <f t="shared" ref="AC50:AC56" si="9">0.9078-AC40</f>
        <v>-7.6301748807631187E-2</v>
      </c>
      <c r="AD50">
        <f t="shared" ref="AD50:AD56" si="10">0.9856-AD40</f>
        <v>4.0804928131416007E-3</v>
      </c>
      <c r="AE50">
        <f t="shared" ref="AE50:AE56" si="11">1-AE40</f>
        <v>0.34374000000000005</v>
      </c>
      <c r="AF50">
        <f t="shared" ref="AF50:AF56" si="12">0.9762-AF40</f>
        <v>0.11905714285714286</v>
      </c>
      <c r="AG50">
        <f t="shared" ref="AG50:AG56" si="13">0.992-AG40</f>
        <v>2.4000000000000021E-2</v>
      </c>
      <c r="AH50">
        <f t="shared" ref="AH50:AH56" si="14">0.8532-AH40</f>
        <v>0.22900645161290323</v>
      </c>
      <c r="AI50">
        <f t="shared" ref="AI50:AI56" si="15">0.8193-AI40</f>
        <v>0.26809518072289162</v>
      </c>
      <c r="AJ50">
        <f t="shared" ref="AJ50:AJ56" si="16">0.9207-AJ40</f>
        <v>0.58533414634146341</v>
      </c>
      <c r="AK50">
        <f t="shared" ref="AK50:AK56" si="17">0.9747-AK40</f>
        <v>8.0760606060606088E-2</v>
      </c>
      <c r="AL50">
        <f t="shared" ref="AL50:AL56" si="18">0.8518-AL40</f>
        <v>0.24795623062616245</v>
      </c>
      <c r="AM50">
        <f t="shared" ref="AM50:AM56" si="19">1-AM40</f>
        <v>0.37349397590361444</v>
      </c>
      <c r="AN50">
        <f t="shared" ref="AN50:AN56" si="20">0.9778-AN40</f>
        <v>0.56668888888888891</v>
      </c>
      <c r="AO50">
        <f t="shared" ref="AO50:AO56" si="21">0.9069-AO40</f>
        <v>0.37855991902834008</v>
      </c>
      <c r="AP50">
        <f t="shared" ref="AP50:AP56" si="22">0.9335-AP40</f>
        <v>9.8152567975830829E-2</v>
      </c>
      <c r="AQ50">
        <f t="shared" ref="AQ50:AQ56" si="23">0.9401-AQ40</f>
        <v>3.3530656934306458E-2</v>
      </c>
      <c r="AR50">
        <f t="shared" ref="AR50:AR56" si="24">0.8796-AR40</f>
        <v>0.36290404217926187</v>
      </c>
      <c r="AS50">
        <f t="shared" ref="AS50:AS56" si="25">0.3322-AS40</f>
        <v>0.15502793867120959</v>
      </c>
      <c r="AT50">
        <f t="shared" ref="AT50:AT56" si="26">0.8952-AT40</f>
        <v>0.39116774193548387</v>
      </c>
      <c r="AU50">
        <f t="shared" ref="AU50:AU56" si="27">0.922-AU40</f>
        <v>0.20207699711260829</v>
      </c>
      <c r="AV50">
        <f t="shared" ref="AV50:AV56" si="28">0.9375-AV40</f>
        <v>0.61458333300000001</v>
      </c>
      <c r="AW50">
        <f t="shared" ref="AW50:AW56" si="29">0.6754-AW40</f>
        <v>0.36528173455978979</v>
      </c>
      <c r="AX50">
        <f t="shared" ref="AX50:AX56" si="30">1-AX40</f>
        <v>0.12903225806451613</v>
      </c>
      <c r="AY50">
        <f t="shared" ref="AY50:AY56" si="31">0.948818897637795-AY40</f>
        <v>3.9370078740157188E-2</v>
      </c>
      <c r="AZ50">
        <f t="shared" ref="AZ50:AZ56" si="32">0.9532-AZ40</f>
        <v>2.2846569646569614E-2</v>
      </c>
      <c r="BA50">
        <f t="shared" ref="BA50:BA56" si="33">0.9111-BA40</f>
        <v>0.18444083239595055</v>
      </c>
      <c r="BB50">
        <f t="shared" ref="BB50:BB56" si="34">0.9744-BB40</f>
        <v>2.5682051000000095E-2</v>
      </c>
      <c r="BC50">
        <f t="shared" ref="BC50:BC56" si="35">AVERAGE(Z50:BB50)</f>
        <v>0.2434742084285674</v>
      </c>
      <c r="BD50">
        <f t="shared" ref="BD50:BD56" si="36">BC50*100</f>
        <v>24.347420842856739</v>
      </c>
    </row>
    <row r="51" spans="13:56" x14ac:dyDescent="0.25">
      <c r="M51" s="1"/>
      <c r="N51" s="1"/>
      <c r="O51" s="1"/>
      <c r="P51" s="1"/>
      <c r="Q51" s="1"/>
      <c r="R51" s="1"/>
      <c r="S51" s="1"/>
      <c r="T51" s="1"/>
      <c r="U51" s="1"/>
      <c r="V51" s="1"/>
      <c r="Y51" t="s">
        <v>20</v>
      </c>
      <c r="Z51">
        <f t="shared" si="6"/>
        <v>0.40477142857142856</v>
      </c>
      <c r="AA51">
        <f t="shared" si="7"/>
        <v>0.31247499999999995</v>
      </c>
      <c r="AB51">
        <f t="shared" si="8"/>
        <v>0.32673112582781449</v>
      </c>
      <c r="AC51">
        <f t="shared" si="9"/>
        <v>0.18840413354531005</v>
      </c>
      <c r="AD51">
        <f t="shared" si="10"/>
        <v>0.49278685831622182</v>
      </c>
      <c r="AE51">
        <f t="shared" si="11"/>
        <v>0.28125</v>
      </c>
      <c r="AF51">
        <f t="shared" si="12"/>
        <v>0.23810476190476182</v>
      </c>
      <c r="AG51">
        <f t="shared" si="13"/>
        <v>1.6000000000000014E-2</v>
      </c>
      <c r="AH51">
        <f t="shared" si="14"/>
        <v>9.5135483870967708E-2</v>
      </c>
      <c r="AI51">
        <f>0.8193-AI41</f>
        <v>0.23797469879518074</v>
      </c>
      <c r="AJ51">
        <f t="shared" si="16"/>
        <v>0.82923658536585365</v>
      </c>
      <c r="AK51">
        <f t="shared" si="17"/>
        <v>0.33328585858585857</v>
      </c>
      <c r="AL51">
        <f t="shared" si="18"/>
        <v>0.36450923744575331</v>
      </c>
      <c r="AM51">
        <f t="shared" si="19"/>
        <v>9.6385542168674787E-2</v>
      </c>
      <c r="AN51">
        <f t="shared" si="20"/>
        <v>8.8911111111111163E-2</v>
      </c>
      <c r="AO51">
        <f t="shared" si="21"/>
        <v>8.5037651821862403E-2</v>
      </c>
      <c r="AP51">
        <f t="shared" si="22"/>
        <v>3.4708459214501497E-2</v>
      </c>
      <c r="AQ51">
        <f t="shared" si="23"/>
        <v>8.1705839416058468E-2</v>
      </c>
      <c r="AR51">
        <f t="shared" si="24"/>
        <v>0.51053145869947292</v>
      </c>
      <c r="AS51">
        <f t="shared" si="25"/>
        <v>0.14225110732538329</v>
      </c>
      <c r="AT51">
        <f t="shared" si="26"/>
        <v>8.6732258064516121E-2</v>
      </c>
      <c r="AU51">
        <f t="shared" si="27"/>
        <v>0.52835226179018302</v>
      </c>
      <c r="AV51">
        <f t="shared" si="28"/>
        <v>0.22916666699999999</v>
      </c>
      <c r="AW51">
        <f t="shared" si="29"/>
        <v>6.5675952693823869E-2</v>
      </c>
      <c r="AX51">
        <f t="shared" si="30"/>
        <v>0.30645161290322576</v>
      </c>
      <c r="AY51">
        <f t="shared" si="31"/>
        <v>0.33989501312335935</v>
      </c>
      <c r="AZ51">
        <f t="shared" si="32"/>
        <v>0.31494636174636181</v>
      </c>
      <c r="BA51">
        <f t="shared" si="33"/>
        <v>0.12819786276715417</v>
      </c>
      <c r="BB51">
        <f t="shared" si="34"/>
        <v>0.58978461500000012</v>
      </c>
      <c r="BC51">
        <f t="shared" si="35"/>
        <v>0.2672206533474083</v>
      </c>
      <c r="BD51">
        <f t="shared" si="36"/>
        <v>26.722065334740829</v>
      </c>
    </row>
    <row r="52" spans="13:56" x14ac:dyDescent="0.25">
      <c r="Y52" t="s">
        <v>21</v>
      </c>
      <c r="Z52">
        <f t="shared" si="6"/>
        <v>0.66667619047619042</v>
      </c>
      <c r="AA52">
        <f t="shared" si="7"/>
        <v>0.73434999999999995</v>
      </c>
      <c r="AB52">
        <f t="shared" si="8"/>
        <v>0.78809977924944818</v>
      </c>
      <c r="AC52">
        <f t="shared" si="9"/>
        <v>0.85215612082670911</v>
      </c>
      <c r="AD52">
        <f t="shared" si="10"/>
        <v>0.49073347022587271</v>
      </c>
      <c r="AE52">
        <f>1-AE42</f>
        <v>0.90625</v>
      </c>
      <c r="AF52">
        <f t="shared" si="12"/>
        <v>0.88096190476190472</v>
      </c>
      <c r="AG52">
        <f t="shared" si="13"/>
        <v>0.95199999999999996</v>
      </c>
      <c r="AH52">
        <f t="shared" si="14"/>
        <v>0.78707096774193541</v>
      </c>
      <c r="AI52">
        <f t="shared" si="15"/>
        <v>0.64460120481927707</v>
      </c>
      <c r="AJ52">
        <f t="shared" si="16"/>
        <v>0.82923658536585365</v>
      </c>
      <c r="AK52">
        <f t="shared" si="17"/>
        <v>0.66156868686868697</v>
      </c>
      <c r="AL52">
        <f t="shared" si="18"/>
        <v>0.83010130192188469</v>
      </c>
      <c r="AM52">
        <f t="shared" si="19"/>
        <v>0.95180722891566272</v>
      </c>
      <c r="AN52">
        <f t="shared" si="20"/>
        <v>0.94446666666666668</v>
      </c>
      <c r="AO52">
        <f t="shared" si="21"/>
        <v>0.88868137651821877</v>
      </c>
      <c r="AP52">
        <f t="shared" si="22"/>
        <v>0.91990483383685806</v>
      </c>
      <c r="AQ52">
        <f t="shared" si="23"/>
        <v>0.92258175182481761</v>
      </c>
      <c r="AR52">
        <f t="shared" si="24"/>
        <v>0.86729771528998256</v>
      </c>
      <c r="AS52">
        <f t="shared" si="25"/>
        <v>0.2955730834752982</v>
      </c>
      <c r="AT52">
        <f t="shared" si="26"/>
        <v>0.86294193548387099</v>
      </c>
      <c r="AU52">
        <f t="shared" si="27"/>
        <v>0.91333782483156889</v>
      </c>
      <c r="AV52">
        <f t="shared" si="28"/>
        <v>0.84375</v>
      </c>
      <c r="AW52">
        <f t="shared" si="29"/>
        <v>0.6412344283837057</v>
      </c>
      <c r="AX52">
        <f t="shared" si="30"/>
        <v>0.80645161290322576</v>
      </c>
      <c r="AY52">
        <f t="shared" si="31"/>
        <v>0.7690288713910759</v>
      </c>
      <c r="AZ52">
        <f t="shared" si="32"/>
        <v>0.80974885654885664</v>
      </c>
      <c r="BA52">
        <f t="shared" si="33"/>
        <v>0.86273104611923512</v>
      </c>
      <c r="BB52">
        <f t="shared" si="34"/>
        <v>0.61542564100000008</v>
      </c>
      <c r="BC52">
        <f t="shared" si="35"/>
        <v>0.79099203742920021</v>
      </c>
      <c r="BD52">
        <f t="shared" si="36"/>
        <v>79.099203742920025</v>
      </c>
    </row>
    <row r="53" spans="13:56" x14ac:dyDescent="0.25">
      <c r="Y53" t="s">
        <v>22</v>
      </c>
      <c r="Z53">
        <f t="shared" si="6"/>
        <v>0.30953333333333333</v>
      </c>
      <c r="AA53">
        <f t="shared" si="7"/>
        <v>0.10934999999999995</v>
      </c>
      <c r="AB53">
        <f t="shared" si="8"/>
        <v>-2.426225165562923E-2</v>
      </c>
      <c r="AC53">
        <f t="shared" si="9"/>
        <v>-5.006963434022238E-2</v>
      </c>
      <c r="AD53">
        <f t="shared" si="10"/>
        <v>-1.4399999999999968E-2</v>
      </c>
      <c r="AE53">
        <f t="shared" si="11"/>
        <v>0.25</v>
      </c>
      <c r="AF53">
        <f t="shared" si="12"/>
        <v>7.1438095238095189E-2</v>
      </c>
      <c r="AG53">
        <f t="shared" si="13"/>
        <v>0.15200000000000002</v>
      </c>
      <c r="AH53">
        <f t="shared" si="14"/>
        <v>-3.5509677419354846E-2</v>
      </c>
      <c r="AI53">
        <f t="shared" si="15"/>
        <v>-1.2025301204819261E-2</v>
      </c>
      <c r="AJ53">
        <f t="shared" si="16"/>
        <v>0.56704146341463413</v>
      </c>
      <c r="AK53">
        <f t="shared" si="17"/>
        <v>1.005353535353537E-2</v>
      </c>
      <c r="AL53">
        <f t="shared" si="18"/>
        <v>-2.234755114693121E-2</v>
      </c>
      <c r="AM53">
        <f t="shared" si="19"/>
        <v>8.4337349397590411E-2</v>
      </c>
      <c r="AN53">
        <f t="shared" si="20"/>
        <v>2.22444444444444E-2</v>
      </c>
      <c r="AO53">
        <f t="shared" si="21"/>
        <v>1.6211740890688331E-2</v>
      </c>
      <c r="AP53">
        <f t="shared" si="22"/>
        <v>4.9814199395770364E-2</v>
      </c>
      <c r="AQ53">
        <f t="shared" si="23"/>
        <v>2.769124087591246E-2</v>
      </c>
      <c r="AR53">
        <f t="shared" si="24"/>
        <v>8.9617574692442914E-2</v>
      </c>
      <c r="AS53">
        <f t="shared" si="25"/>
        <v>9.4550936967632088E-2</v>
      </c>
      <c r="AT53">
        <f t="shared" si="26"/>
        <v>1.4151612903225752E-2</v>
      </c>
      <c r="AU53">
        <f t="shared" si="27"/>
        <v>-2.8914340712223208E-2</v>
      </c>
      <c r="AV53">
        <f t="shared" si="28"/>
        <v>0.16666666699999999</v>
      </c>
      <c r="AW53">
        <f t="shared" si="29"/>
        <v>1.2869908015769038E-3</v>
      </c>
      <c r="AX53">
        <f t="shared" si="30"/>
        <v>3.2258064516129004E-2</v>
      </c>
      <c r="AY53">
        <f t="shared" si="31"/>
        <v>-4.8556430446194621E-2</v>
      </c>
      <c r="AZ53">
        <f t="shared" si="32"/>
        <v>-3.9523492723492759E-2</v>
      </c>
      <c r="BA53">
        <f t="shared" si="33"/>
        <v>-3.9406186726659187E-2</v>
      </c>
      <c r="BB53">
        <f t="shared" si="34"/>
        <v>2.5682051000000095E-2</v>
      </c>
      <c r="BC53">
        <f t="shared" si="35"/>
        <v>6.1341877029292571E-2</v>
      </c>
      <c r="BD53">
        <f t="shared" si="36"/>
        <v>6.1341877029292569</v>
      </c>
    </row>
    <row r="54" spans="13:56" x14ac:dyDescent="0.25">
      <c r="Y54" t="s">
        <v>23</v>
      </c>
      <c r="Z54">
        <f t="shared" si="6"/>
        <v>0.30953333333333333</v>
      </c>
      <c r="AA54">
        <f t="shared" si="7"/>
        <v>0.10934999999999995</v>
      </c>
      <c r="AB54">
        <f t="shared" si="8"/>
        <v>-3.5299779249448049E-2</v>
      </c>
      <c r="AC54">
        <f t="shared" si="9"/>
        <v>-8.9815262321144784E-2</v>
      </c>
      <c r="AD54">
        <f t="shared" si="10"/>
        <v>-1.4399999999999968E-2</v>
      </c>
      <c r="AE54">
        <f t="shared" si="11"/>
        <v>0.25</v>
      </c>
      <c r="AF54">
        <f t="shared" si="12"/>
        <v>7.1438095238095189E-2</v>
      </c>
      <c r="AG54">
        <f t="shared" si="13"/>
        <v>-8.0000000000000071E-3</v>
      </c>
      <c r="AH54">
        <f t="shared" si="14"/>
        <v>-5.1638709677419237E-2</v>
      </c>
      <c r="AI54">
        <f t="shared" si="15"/>
        <v>-1.2025301204819261E-2</v>
      </c>
      <c r="AJ54">
        <f t="shared" si="16"/>
        <v>0.56704146341463413</v>
      </c>
      <c r="AK54">
        <f t="shared" si="17"/>
        <v>1.005353535353537E-2</v>
      </c>
      <c r="AL54">
        <f t="shared" si="18"/>
        <v>-7.6284314941103548E-2</v>
      </c>
      <c r="AM54">
        <f t="shared" si="19"/>
        <v>8.4337349397590411E-2</v>
      </c>
      <c r="AN54">
        <f t="shared" si="20"/>
        <v>2.22444444444444E-2</v>
      </c>
      <c r="AO54">
        <f t="shared" si="21"/>
        <v>1.2163157894736876E-2</v>
      </c>
      <c r="AP54">
        <f t="shared" si="22"/>
        <v>-3.930966767371602E-2</v>
      </c>
      <c r="AQ54">
        <f t="shared" si="23"/>
        <v>-4.2381751824817515E-2</v>
      </c>
      <c r="AR54">
        <f t="shared" si="24"/>
        <v>-1.4951845342706438E-2</v>
      </c>
      <c r="AS54">
        <f t="shared" si="25"/>
        <v>-1.5329812606473592E-2</v>
      </c>
      <c r="AT54">
        <f t="shared" si="26"/>
        <v>-1.8106451612903252E-2</v>
      </c>
      <c r="AU54">
        <f t="shared" si="27"/>
        <v>-7.1262752646775729E-2</v>
      </c>
      <c r="AV54">
        <f t="shared" si="28"/>
        <v>0.16666666699999999</v>
      </c>
      <c r="AW54">
        <f t="shared" si="29"/>
        <v>-1.3411300919842217E-3</v>
      </c>
      <c r="AX54">
        <f t="shared" si="30"/>
        <v>3.2258064516129004E-2</v>
      </c>
      <c r="AY54">
        <f t="shared" si="31"/>
        <v>-4.7244094488189337E-2</v>
      </c>
      <c r="AZ54">
        <f t="shared" si="32"/>
        <v>-3.8483991683991525E-2</v>
      </c>
      <c r="BA54">
        <f t="shared" si="33"/>
        <v>-4.5030483689538769E-2</v>
      </c>
      <c r="BB54">
        <f t="shared" si="34"/>
        <v>2.5682051000000095E-2</v>
      </c>
      <c r="BC54">
        <f t="shared" si="35"/>
        <v>3.5857338363360941E-2</v>
      </c>
      <c r="BD54">
        <f t="shared" si="36"/>
        <v>3.585733836336094</v>
      </c>
    </row>
    <row r="55" spans="13:56" x14ac:dyDescent="0.25">
      <c r="Y55" t="s">
        <v>7</v>
      </c>
      <c r="Z55">
        <f t="shared" si="6"/>
        <v>0.30953333333333333</v>
      </c>
      <c r="AA55">
        <f t="shared" si="7"/>
        <v>0.10934999999999995</v>
      </c>
      <c r="AB55">
        <f t="shared" si="8"/>
        <v>-4.6337306843267201E-2</v>
      </c>
      <c r="AC55">
        <f t="shared" si="9"/>
        <v>-9.2199999999999949E-2</v>
      </c>
      <c r="AD55">
        <f t="shared" si="10"/>
        <v>-1.4399999999999968E-2</v>
      </c>
      <c r="AE55">
        <f t="shared" si="11"/>
        <v>0.25</v>
      </c>
      <c r="AF55">
        <f t="shared" si="12"/>
        <v>7.1438095238095189E-2</v>
      </c>
      <c r="AG55">
        <f t="shared" si="13"/>
        <v>-8.0000000000000071E-3</v>
      </c>
      <c r="AH55">
        <f t="shared" si="14"/>
        <v>-5.1638709677419237E-2</v>
      </c>
      <c r="AI55">
        <f t="shared" si="15"/>
        <v>-1.2025301204819261E-2</v>
      </c>
      <c r="AJ55">
        <f t="shared" si="16"/>
        <v>0.56704146341463413</v>
      </c>
      <c r="AK55">
        <f t="shared" si="17"/>
        <v>1.005353535353537E-2</v>
      </c>
      <c r="AL55">
        <f t="shared" si="18"/>
        <v>-7.6284314941103548E-2</v>
      </c>
      <c r="AM55">
        <f t="shared" si="19"/>
        <v>8.4337349397590411E-2</v>
      </c>
      <c r="AN55">
        <f t="shared" si="20"/>
        <v>2.22444444444444E-2</v>
      </c>
      <c r="AO55">
        <f t="shared" si="21"/>
        <v>1.2163157894736876E-2</v>
      </c>
      <c r="AP55">
        <f t="shared" si="22"/>
        <v>-3.930966767371602E-2</v>
      </c>
      <c r="AQ55">
        <f t="shared" si="23"/>
        <v>-4.2381751824817515E-2</v>
      </c>
      <c r="AR55">
        <f t="shared" si="24"/>
        <v>-1.4951845342706438E-2</v>
      </c>
      <c r="AS55">
        <f t="shared" si="25"/>
        <v>-1.5329812606473592E-2</v>
      </c>
      <c r="AT55">
        <f t="shared" si="26"/>
        <v>-1.8106451612903252E-2</v>
      </c>
      <c r="AU55">
        <f t="shared" si="27"/>
        <v>-7.1262752646775729E-2</v>
      </c>
      <c r="AV55">
        <f t="shared" si="28"/>
        <v>0.16666666699999999</v>
      </c>
      <c r="AW55">
        <f t="shared" si="29"/>
        <v>-1.3411300919842217E-3</v>
      </c>
      <c r="AX55">
        <f t="shared" si="30"/>
        <v>3.2258064516129004E-2</v>
      </c>
      <c r="AY55">
        <f t="shared" si="31"/>
        <v>-4.8556430446194621E-2</v>
      </c>
      <c r="AZ55">
        <f t="shared" si="32"/>
        <v>-3.9523492723492759E-2</v>
      </c>
      <c r="BA55">
        <f t="shared" si="33"/>
        <v>-4.5030483689538769E-2</v>
      </c>
      <c r="BB55">
        <f t="shared" si="34"/>
        <v>2.5682051000000095E-2</v>
      </c>
      <c r="BC55">
        <f t="shared" si="35"/>
        <v>3.5313403802320231E-2</v>
      </c>
      <c r="BD55">
        <f t="shared" si="36"/>
        <v>3.5313403802320229</v>
      </c>
    </row>
    <row r="56" spans="13:56" x14ac:dyDescent="0.25">
      <c r="Y56" t="s">
        <v>8</v>
      </c>
      <c r="Z56">
        <f t="shared" si="6"/>
        <v>0.30953333333333333</v>
      </c>
      <c r="AA56">
        <f t="shared" si="7"/>
        <v>0.12497499999999995</v>
      </c>
      <c r="AB56">
        <f t="shared" si="8"/>
        <v>4.4170419426048491E-2</v>
      </c>
      <c r="AC56">
        <f t="shared" si="9"/>
        <v>-9.1405087440381561E-2</v>
      </c>
      <c r="AD56">
        <f t="shared" si="10"/>
        <v>-1.4399999999999968E-2</v>
      </c>
      <c r="AE56">
        <f t="shared" si="11"/>
        <v>0.25</v>
      </c>
      <c r="AF56">
        <f t="shared" si="12"/>
        <v>9.5247619047619025E-2</v>
      </c>
      <c r="AG56">
        <f t="shared" si="13"/>
        <v>-8.0000000000000071E-3</v>
      </c>
      <c r="AH56">
        <f t="shared" si="14"/>
        <v>-4.1961290322580669E-2</v>
      </c>
      <c r="AI56">
        <f t="shared" si="15"/>
        <v>2.1107228915662635E-2</v>
      </c>
      <c r="AJ56">
        <f t="shared" si="16"/>
        <v>0.57923658536585365</v>
      </c>
      <c r="AK56">
        <f t="shared" si="17"/>
        <v>1.005353535353537E-2</v>
      </c>
      <c r="AL56">
        <f t="shared" si="18"/>
        <v>-3.2266955982641066E-2</v>
      </c>
      <c r="AM56">
        <f t="shared" si="19"/>
        <v>8.4337349397590411E-2</v>
      </c>
      <c r="AN56">
        <f t="shared" si="20"/>
        <v>3.3355555555555583E-2</v>
      </c>
      <c r="AO56">
        <f t="shared" si="21"/>
        <v>1.4187449392712548E-2</v>
      </c>
      <c r="AP56">
        <f t="shared" si="22"/>
        <v>-3.930966767371602E-2</v>
      </c>
      <c r="AQ56">
        <f t="shared" si="23"/>
        <v>-4.2381751824817515E-2</v>
      </c>
      <c r="AR56">
        <f t="shared" si="24"/>
        <v>5.2710720562390234E-2</v>
      </c>
      <c r="AS56">
        <f t="shared" si="25"/>
        <v>1.788994889267459E-2</v>
      </c>
      <c r="AT56">
        <f t="shared" si="26"/>
        <v>-8.0258064516127714E-3</v>
      </c>
      <c r="AU56">
        <f t="shared" si="27"/>
        <v>-4.9126082771896007E-2</v>
      </c>
      <c r="AV56">
        <f t="shared" si="28"/>
        <v>0.17708333300000001</v>
      </c>
      <c r="AW56">
        <f t="shared" si="29"/>
        <v>1.3113534822601802E-2</v>
      </c>
      <c r="AX56">
        <f t="shared" si="30"/>
        <v>4.8387096774193616E-2</v>
      </c>
      <c r="AY56">
        <f t="shared" si="31"/>
        <v>-4.5931758530183942E-2</v>
      </c>
      <c r="AZ56">
        <f t="shared" si="32"/>
        <v>-3.7444490644490735E-2</v>
      </c>
      <c r="BA56">
        <f t="shared" si="33"/>
        <v>-3.8281327334083182E-2</v>
      </c>
      <c r="BB56">
        <f t="shared" si="34"/>
        <v>2.5682051000000095E-2</v>
      </c>
      <c r="BC56">
        <f t="shared" si="35"/>
        <v>5.00874669608058E-2</v>
      </c>
      <c r="BD56">
        <f t="shared" si="36"/>
        <v>5.0087466960805802</v>
      </c>
    </row>
    <row r="57" spans="13:56" x14ac:dyDescent="0.25">
      <c r="Y57" t="s">
        <v>0</v>
      </c>
    </row>
    <row r="58" spans="13:56" x14ac:dyDescent="0.25">
      <c r="AF58">
        <f>MAX(AB53:AB55,AC53:AC55,AD53:AD56,AC56,AC49:AC50,AD49,AG49,AH49,AH53:AH56,AG54:AG56,AI53:AI55,AL49,AL53:AL56,AP49:AQ49,AP54:AQ56,AR54:AU55,AT56:AU56,AT49:AU49,AW54:AW55,AY53:AZ56,AY49:BA49,BA53:BA56)</f>
        <v>-1.3411300919842217E-3</v>
      </c>
    </row>
    <row r="59" spans="13:56" x14ac:dyDescent="0.25">
      <c r="AV59">
        <f>MIN(Z49:BB56)</f>
        <v>-9.2199999999999949E-2</v>
      </c>
    </row>
    <row r="60" spans="13:56" x14ac:dyDescent="0.25">
      <c r="AV60">
        <f>MAX(Z49:BB56)</f>
        <v>0.95199999999999996</v>
      </c>
    </row>
    <row r="63" spans="13:56" x14ac:dyDescent="0.25">
      <c r="M63" s="1"/>
      <c r="N63" s="1"/>
      <c r="O63" s="1"/>
      <c r="P63" s="1"/>
      <c r="Q63" s="1"/>
      <c r="R63" s="1"/>
      <c r="S63" s="1"/>
      <c r="T63" s="1"/>
      <c r="U63" s="1"/>
      <c r="V63" s="1"/>
    </row>
    <row r="69" spans="13:56" x14ac:dyDescent="0.25">
      <c r="Y69" t="s">
        <v>1</v>
      </c>
      <c r="Z69">
        <f>(Z49/Z39)*100</f>
        <v>46.43</v>
      </c>
      <c r="AA69">
        <f t="shared" ref="AA69:BB76" si="37">(AA49/AA39)*100</f>
        <v>15.091320754716975</v>
      </c>
      <c r="AB69">
        <f t="shared" si="37"/>
        <v>5.3074801061007859</v>
      </c>
      <c r="AC69">
        <f t="shared" si="37"/>
        <v>-9.1518638979234339</v>
      </c>
      <c r="AD69">
        <f t="shared" si="37"/>
        <v>-1.4399999999999968</v>
      </c>
      <c r="AE69">
        <f t="shared" si="37"/>
        <v>33.333333333333329</v>
      </c>
      <c r="AF69">
        <f t="shared" si="37"/>
        <v>10.811891891891889</v>
      </c>
      <c r="AG69">
        <f t="shared" si="37"/>
        <v>-0.80000000000000071</v>
      </c>
      <c r="AH69">
        <f t="shared" si="37"/>
        <v>-4.6875675675675703</v>
      </c>
      <c r="AI69">
        <f t="shared" si="37"/>
        <v>2.6443773584906212</v>
      </c>
      <c r="AJ69">
        <f t="shared" si="37"/>
        <v>169.63357142857146</v>
      </c>
      <c r="AK69">
        <f t="shared" si="37"/>
        <v>1.0421989528795828</v>
      </c>
      <c r="AL69">
        <f t="shared" si="37"/>
        <v>-3.6498316970547013</v>
      </c>
      <c r="AM69">
        <f t="shared" si="37"/>
        <v>9.2105263157894797</v>
      </c>
      <c r="AN69">
        <f t="shared" si="37"/>
        <v>3.5317647058823556</v>
      </c>
      <c r="AO69">
        <f t="shared" si="37"/>
        <v>1.5892517006802716</v>
      </c>
      <c r="AP69">
        <f t="shared" si="37"/>
        <v>-4.0408385093167709</v>
      </c>
      <c r="AQ69">
        <f t="shared" si="37"/>
        <v>-4.31374442793462</v>
      </c>
      <c r="AR69">
        <f t="shared" si="37"/>
        <v>6.3745802337938455</v>
      </c>
      <c r="AS69">
        <f t="shared" si="37"/>
        <v>5.6918157181571729</v>
      </c>
      <c r="AT69">
        <f t="shared" si="37"/>
        <v>-0.88857142857141413</v>
      </c>
      <c r="AU69">
        <f t="shared" si="37"/>
        <v>-5.058671952428142</v>
      </c>
      <c r="AV69">
        <f t="shared" si="37"/>
        <v>23.287671178832802</v>
      </c>
      <c r="AW69">
        <f t="shared" si="37"/>
        <v>1.9800396825396767</v>
      </c>
      <c r="AX69">
        <f t="shared" si="37"/>
        <v>5.0847457627118713</v>
      </c>
      <c r="AY69">
        <f t="shared" si="37"/>
        <v>-4.61741424802113</v>
      </c>
      <c r="AZ69">
        <f t="shared" si="37"/>
        <v>-3.7798111227702083</v>
      </c>
      <c r="BA69">
        <f t="shared" si="37"/>
        <v>-4.0322393364928848</v>
      </c>
      <c r="BB69">
        <f t="shared" si="37"/>
        <v>2.7070269964925155</v>
      </c>
    </row>
    <row r="70" spans="13:56" x14ac:dyDescent="0.25">
      <c r="Y70" t="s">
        <v>19</v>
      </c>
      <c r="Z70">
        <f t="shared" ref="Z70:AO76" si="38">(Z50/Z40)*100</f>
        <v>141.1788235294118</v>
      </c>
      <c r="AA70">
        <f t="shared" si="38"/>
        <v>110.33931034482758</v>
      </c>
      <c r="AB70">
        <f t="shared" si="38"/>
        <v>33.673131313131307</v>
      </c>
      <c r="AC70">
        <f t="shared" si="38"/>
        <v>-7.7534410339256885</v>
      </c>
      <c r="AD70">
        <f t="shared" si="38"/>
        <v>0.41573221757321327</v>
      </c>
      <c r="AE70">
        <f t="shared" si="38"/>
        <v>52.37863042086979</v>
      </c>
      <c r="AF70">
        <f t="shared" si="38"/>
        <v>13.890000000000002</v>
      </c>
      <c r="AG70">
        <f t="shared" si="38"/>
        <v>2.4793388429752086</v>
      </c>
      <c r="AH70">
        <f t="shared" si="38"/>
        <v>36.688372093023261</v>
      </c>
      <c r="AI70">
        <f t="shared" si="38"/>
        <v>48.638032786885262</v>
      </c>
      <c r="AJ70">
        <f t="shared" si="38"/>
        <v>174.53599999999997</v>
      </c>
      <c r="AK70">
        <f t="shared" si="38"/>
        <v>9.0342372881355963</v>
      </c>
      <c r="AL70">
        <f t="shared" si="38"/>
        <v>41.062977412731009</v>
      </c>
      <c r="AM70">
        <f t="shared" si="38"/>
        <v>59.615384615384613</v>
      </c>
      <c r="AN70">
        <f t="shared" si="38"/>
        <v>137.84324324324325</v>
      </c>
      <c r="AO70">
        <f t="shared" si="38"/>
        <v>71.650804597701139</v>
      </c>
      <c r="AP70">
        <f t="shared" si="37"/>
        <v>11.749909584086801</v>
      </c>
      <c r="AQ70">
        <f t="shared" si="37"/>
        <v>3.6986312399355752</v>
      </c>
      <c r="AR70">
        <f t="shared" si="37"/>
        <v>70.235510204081635</v>
      </c>
      <c r="AS70">
        <f t="shared" si="37"/>
        <v>87.501346153846214</v>
      </c>
      <c r="AT70">
        <f t="shared" si="37"/>
        <v>77.607680000000002</v>
      </c>
      <c r="AU70">
        <f t="shared" si="37"/>
        <v>28.0692513368984</v>
      </c>
      <c r="AV70">
        <f t="shared" si="37"/>
        <v>190.32258034547345</v>
      </c>
      <c r="AW70">
        <f t="shared" si="37"/>
        <v>117.78788135593223</v>
      </c>
      <c r="AX70">
        <f t="shared" si="37"/>
        <v>14.814814814814813</v>
      </c>
      <c r="AY70">
        <f t="shared" si="37"/>
        <v>4.329004329004297</v>
      </c>
      <c r="AZ70">
        <f t="shared" si="37"/>
        <v>2.4556871508379854</v>
      </c>
      <c r="BA70">
        <f t="shared" si="37"/>
        <v>25.382027863777097</v>
      </c>
      <c r="BB70">
        <f t="shared" si="37"/>
        <v>2.7070269964925155</v>
      </c>
    </row>
    <row r="71" spans="13:56" x14ac:dyDescent="0.25">
      <c r="Y71" t="s">
        <v>20</v>
      </c>
      <c r="Z71">
        <f t="shared" si="38"/>
        <v>70.835000000000008</v>
      </c>
      <c r="AA71">
        <f t="shared" si="37"/>
        <v>48.776585365853656</v>
      </c>
      <c r="AB71">
        <f t="shared" si="37"/>
        <v>59.441445783132515</v>
      </c>
      <c r="AC71">
        <f t="shared" si="37"/>
        <v>26.189215469613263</v>
      </c>
      <c r="AD71">
        <f t="shared" si="37"/>
        <v>99.994666666666689</v>
      </c>
      <c r="AE71">
        <f t="shared" si="37"/>
        <v>39.130434782608695</v>
      </c>
      <c r="AF71">
        <f t="shared" si="37"/>
        <v>32.259354838709662</v>
      </c>
      <c r="AG71">
        <f t="shared" si="37"/>
        <v>1.6393442622950833</v>
      </c>
      <c r="AH71">
        <f t="shared" si="37"/>
        <v>12.549787234042547</v>
      </c>
      <c r="AI71">
        <f t="shared" si="37"/>
        <v>40.936580310880835</v>
      </c>
      <c r="AJ71">
        <f t="shared" si="37"/>
        <v>906.63200000000052</v>
      </c>
      <c r="AK71">
        <f t="shared" si="37"/>
        <v>51.961102362204727</v>
      </c>
      <c r="AL71">
        <f t="shared" si="37"/>
        <v>74.80323155216287</v>
      </c>
      <c r="AM71">
        <f t="shared" si="37"/>
        <v>10.666666666666677</v>
      </c>
      <c r="AN71">
        <f t="shared" si="37"/>
        <v>10.002500000000007</v>
      </c>
      <c r="AO71">
        <f t="shared" si="37"/>
        <v>10.346945812807888</v>
      </c>
      <c r="AP71">
        <f t="shared" si="37"/>
        <v>3.8616806722689057</v>
      </c>
      <c r="AQ71">
        <f t="shared" si="37"/>
        <v>9.5184523809523895</v>
      </c>
      <c r="AR71">
        <f t="shared" si="37"/>
        <v>138.32971428571435</v>
      </c>
      <c r="AS71">
        <f t="shared" si="37"/>
        <v>74.889147982062767</v>
      </c>
      <c r="AT71">
        <f t="shared" si="37"/>
        <v>10.72798004987531</v>
      </c>
      <c r="AU71">
        <f t="shared" si="37"/>
        <v>134.21955990220053</v>
      </c>
      <c r="AV71">
        <f t="shared" si="37"/>
        <v>32.352941238754326</v>
      </c>
      <c r="AW71">
        <f t="shared" si="37"/>
        <v>10.771422413793095</v>
      </c>
      <c r="AX71">
        <f t="shared" si="37"/>
        <v>44.186046511627893</v>
      </c>
      <c r="AY71">
        <f t="shared" si="37"/>
        <v>55.818965517241338</v>
      </c>
      <c r="AZ71">
        <f t="shared" si="37"/>
        <v>49.345016286644963</v>
      </c>
      <c r="BA71">
        <f t="shared" si="37"/>
        <v>16.37469827586208</v>
      </c>
      <c r="BB71">
        <f t="shared" si="37"/>
        <v>153.34399974665604</v>
      </c>
    </row>
    <row r="72" spans="13:56" x14ac:dyDescent="0.25">
      <c r="Y72" t="s">
        <v>21</v>
      </c>
      <c r="Z72">
        <f t="shared" si="38"/>
        <v>215.38769230769233</v>
      </c>
      <c r="AA72">
        <f t="shared" si="37"/>
        <v>335.70285714285711</v>
      </c>
      <c r="AB72">
        <f t="shared" si="37"/>
        <v>892.52300000000082</v>
      </c>
      <c r="AC72">
        <f t="shared" si="37"/>
        <v>1531.4462857142867</v>
      </c>
      <c r="AD72">
        <f t="shared" si="37"/>
        <v>99.164813278008296</v>
      </c>
      <c r="AE72">
        <f t="shared" si="37"/>
        <v>966.66666666666663</v>
      </c>
      <c r="AF72">
        <f t="shared" si="37"/>
        <v>925.01000000000033</v>
      </c>
      <c r="AG72">
        <f t="shared" si="37"/>
        <v>2379.9999999999995</v>
      </c>
      <c r="AH72">
        <f t="shared" si="37"/>
        <v>1190.2048780487808</v>
      </c>
      <c r="AI72">
        <f t="shared" si="37"/>
        <v>368.97862068965514</v>
      </c>
      <c r="AJ72">
        <f t="shared" si="37"/>
        <v>906.63200000000052</v>
      </c>
      <c r="AK72">
        <f t="shared" si="37"/>
        <v>211.27516129032261</v>
      </c>
      <c r="AL72">
        <f t="shared" si="37"/>
        <v>3825.5811428571446</v>
      </c>
      <c r="AM72">
        <f t="shared" si="37"/>
        <v>1975.000000000002</v>
      </c>
      <c r="AN72">
        <f t="shared" si="37"/>
        <v>2833.4000000000033</v>
      </c>
      <c r="AO72">
        <f t="shared" si="37"/>
        <v>4877.8733333333548</v>
      </c>
      <c r="AP72">
        <f t="shared" si="37"/>
        <v>6766.4111111111579</v>
      </c>
      <c r="AQ72">
        <f t="shared" si="37"/>
        <v>5266.4041666666917</v>
      </c>
      <c r="AR72">
        <f t="shared" si="37"/>
        <v>7049.8914285714736</v>
      </c>
      <c r="AS72">
        <f t="shared" si="37"/>
        <v>806.98325581395545</v>
      </c>
      <c r="AT72">
        <f t="shared" si="37"/>
        <v>2675.1200000000031</v>
      </c>
      <c r="AU72">
        <f t="shared" si="37"/>
        <v>10543.97777777788</v>
      </c>
      <c r="AV72">
        <f t="shared" si="37"/>
        <v>900</v>
      </c>
      <c r="AW72">
        <f t="shared" si="37"/>
        <v>1876.843846153849</v>
      </c>
      <c r="AX72">
        <f t="shared" si="37"/>
        <v>416.66666666666669</v>
      </c>
      <c r="AY72">
        <f t="shared" si="37"/>
        <v>427.73722627737226</v>
      </c>
      <c r="AZ72">
        <f t="shared" si="37"/>
        <v>564.47710144927555</v>
      </c>
      <c r="BA72">
        <f t="shared" si="37"/>
        <v>1783.6462790697676</v>
      </c>
      <c r="BB72">
        <f t="shared" si="37"/>
        <v>171.43999998061145</v>
      </c>
    </row>
    <row r="73" spans="13:56" x14ac:dyDescent="0.25">
      <c r="Y73" t="s">
        <v>22</v>
      </c>
      <c r="Z73">
        <f t="shared" si="38"/>
        <v>46.43</v>
      </c>
      <c r="AA73">
        <f t="shared" si="37"/>
        <v>12.959999999999994</v>
      </c>
      <c r="AB73">
        <f t="shared" si="37"/>
        <v>-2.6938235294117745</v>
      </c>
      <c r="AC73">
        <f t="shared" si="37"/>
        <v>-5.2271867219916812</v>
      </c>
      <c r="AD73">
        <f t="shared" si="37"/>
        <v>-1.4399999999999968</v>
      </c>
      <c r="AE73">
        <f t="shared" si="37"/>
        <v>33.333333333333329</v>
      </c>
      <c r="AF73">
        <f t="shared" si="37"/>
        <v>7.8957894736842045</v>
      </c>
      <c r="AG73">
        <f>(AG53/AG43)*100</f>
        <v>18.095238095238098</v>
      </c>
      <c r="AH73">
        <f t="shared" si="37"/>
        <v>-3.9956442831215981</v>
      </c>
      <c r="AI73">
        <f t="shared" si="37"/>
        <v>-1.4465217391304328</v>
      </c>
      <c r="AJ73">
        <f t="shared" si="37"/>
        <v>160.33586206896555</v>
      </c>
      <c r="AK73">
        <f t="shared" si="37"/>
        <v>1.0421989528795828</v>
      </c>
      <c r="AL73">
        <f t="shared" si="37"/>
        <v>-2.5564964539007122</v>
      </c>
      <c r="AM73">
        <f t="shared" si="37"/>
        <v>9.2105263157894797</v>
      </c>
      <c r="AN73">
        <f t="shared" si="37"/>
        <v>2.3279069767441816</v>
      </c>
      <c r="AO73">
        <f t="shared" si="37"/>
        <v>1.8201363636363717</v>
      </c>
      <c r="AP73">
        <f t="shared" si="37"/>
        <v>5.6370940170940136</v>
      </c>
      <c r="AQ73">
        <f t="shared" si="37"/>
        <v>3.0349600000000057</v>
      </c>
      <c r="AR73">
        <f t="shared" si="37"/>
        <v>11.344249165739715</v>
      </c>
      <c r="AS73">
        <f t="shared" si="37"/>
        <v>39.785949820788566</v>
      </c>
      <c r="AT73">
        <f t="shared" si="37"/>
        <v>1.6062242562928999</v>
      </c>
      <c r="AU73">
        <f t="shared" si="37"/>
        <v>-3.0406882591093032</v>
      </c>
      <c r="AV73">
        <f t="shared" si="37"/>
        <v>21.621621674214751</v>
      </c>
      <c r="AW73">
        <f t="shared" si="37"/>
        <v>0.19091617933723662</v>
      </c>
      <c r="AX73">
        <f t="shared" si="37"/>
        <v>3.3333333333333304</v>
      </c>
      <c r="AY73">
        <f t="shared" si="37"/>
        <v>-4.8684210526316178</v>
      </c>
      <c r="AZ73">
        <f t="shared" si="37"/>
        <v>-3.9813193717277517</v>
      </c>
      <c r="BA73">
        <f t="shared" si="37"/>
        <v>-4.1458106508875758</v>
      </c>
      <c r="BB73">
        <f t="shared" si="37"/>
        <v>2.7070269964925155</v>
      </c>
    </row>
    <row r="74" spans="13:56" x14ac:dyDescent="0.25">
      <c r="Y74" t="s">
        <v>23</v>
      </c>
      <c r="Z74">
        <f t="shared" si="38"/>
        <v>46.43</v>
      </c>
      <c r="AA74">
        <f t="shared" si="37"/>
        <v>12.959999999999994</v>
      </c>
      <c r="AB74">
        <f t="shared" si="37"/>
        <v>-3.8718644067796535</v>
      </c>
      <c r="AC74">
        <f t="shared" si="37"/>
        <v>-9.0029960159362634</v>
      </c>
      <c r="AD74">
        <f t="shared" si="37"/>
        <v>-1.4399999999999968</v>
      </c>
      <c r="AE74">
        <f t="shared" si="37"/>
        <v>33.333333333333329</v>
      </c>
      <c r="AF74">
        <f t="shared" si="37"/>
        <v>7.8957894736842045</v>
      </c>
      <c r="AG74">
        <f t="shared" si="37"/>
        <v>-0.80000000000000071</v>
      </c>
      <c r="AH74">
        <f t="shared" si="37"/>
        <v>-5.7069518716577425</v>
      </c>
      <c r="AI74">
        <f t="shared" si="37"/>
        <v>-1.4465217391304328</v>
      </c>
      <c r="AJ74">
        <f t="shared" si="37"/>
        <v>160.33586206896555</v>
      </c>
      <c r="AK74">
        <f t="shared" si="37"/>
        <v>1.0421989528795828</v>
      </c>
      <c r="AL74">
        <f t="shared" si="37"/>
        <v>-8.2195457581830347</v>
      </c>
      <c r="AM74">
        <f t="shared" si="37"/>
        <v>9.2105263157894797</v>
      </c>
      <c r="AN74">
        <f t="shared" si="37"/>
        <v>2.3279069767441816</v>
      </c>
      <c r="AO74">
        <f>(AO54/AO44)*100</f>
        <v>1.3594117647058861</v>
      </c>
      <c r="AP74">
        <f t="shared" si="37"/>
        <v>-4.0408385093167709</v>
      </c>
      <c r="AQ74">
        <f t="shared" si="37"/>
        <v>-4.31374442793462</v>
      </c>
      <c r="AR74">
        <f t="shared" si="37"/>
        <v>-1.6714341846758278</v>
      </c>
      <c r="AS74">
        <f t="shared" si="37"/>
        <v>-4.4110784313725482</v>
      </c>
      <c r="AT74">
        <f t="shared" si="37"/>
        <v>-1.9825165562913936</v>
      </c>
      <c r="AU74">
        <f t="shared" si="37"/>
        <v>-7.174612403100773</v>
      </c>
      <c r="AV74">
        <f t="shared" si="37"/>
        <v>21.621621674214751</v>
      </c>
      <c r="AW74">
        <f t="shared" si="37"/>
        <v>-0.19817475728155198</v>
      </c>
      <c r="AX74">
        <f t="shared" si="37"/>
        <v>3.3333333333333304</v>
      </c>
      <c r="AY74">
        <f t="shared" si="37"/>
        <v>-4.7430830039526048</v>
      </c>
      <c r="AZ74">
        <f t="shared" si="37"/>
        <v>-3.8806708595387684</v>
      </c>
      <c r="BA74">
        <f t="shared" si="37"/>
        <v>-4.7096588235294075</v>
      </c>
      <c r="BB74">
        <f t="shared" si="37"/>
        <v>2.7070269964925155</v>
      </c>
    </row>
    <row r="75" spans="13:56" x14ac:dyDescent="0.25">
      <c r="M75" s="1"/>
      <c r="N75" s="1"/>
      <c r="O75" s="1"/>
      <c r="P75" s="1"/>
      <c r="Q75" s="1"/>
      <c r="R75" s="1"/>
      <c r="S75" s="1"/>
      <c r="T75" s="1"/>
      <c r="U75" s="1"/>
      <c r="V75" s="1"/>
      <c r="Y75" t="s">
        <v>7</v>
      </c>
      <c r="Z75">
        <f t="shared" si="38"/>
        <v>46.43</v>
      </c>
      <c r="AA75">
        <f t="shared" si="37"/>
        <v>12.959999999999994</v>
      </c>
      <c r="AB75">
        <f t="shared" si="37"/>
        <v>-5.0217224880382876</v>
      </c>
      <c r="AC75">
        <f t="shared" si="37"/>
        <v>-9.2199999999999953</v>
      </c>
      <c r="AD75">
        <f t="shared" si="37"/>
        <v>-1.4399999999999968</v>
      </c>
      <c r="AE75">
        <f t="shared" si="37"/>
        <v>33.333333333333329</v>
      </c>
      <c r="AF75">
        <f t="shared" si="37"/>
        <v>7.8957894736842045</v>
      </c>
      <c r="AG75">
        <f t="shared" si="37"/>
        <v>-0.80000000000000071</v>
      </c>
      <c r="AH75">
        <f t="shared" si="37"/>
        <v>-5.7069518716577425</v>
      </c>
      <c r="AI75">
        <f t="shared" si="37"/>
        <v>-1.4465217391304328</v>
      </c>
      <c r="AJ75">
        <f t="shared" si="37"/>
        <v>160.33586206896555</v>
      </c>
      <c r="AK75">
        <f t="shared" si="37"/>
        <v>1.0421989528795828</v>
      </c>
      <c r="AL75">
        <f t="shared" si="37"/>
        <v>-8.2195457581830347</v>
      </c>
      <c r="AM75">
        <f t="shared" si="37"/>
        <v>9.2105263157894797</v>
      </c>
      <c r="AN75">
        <f t="shared" si="37"/>
        <v>2.3279069767441816</v>
      </c>
      <c r="AO75">
        <f t="shared" si="37"/>
        <v>1.3594117647058861</v>
      </c>
      <c r="AP75">
        <f t="shared" si="37"/>
        <v>-4.0408385093167709</v>
      </c>
      <c r="AQ75">
        <f t="shared" si="37"/>
        <v>-4.31374442793462</v>
      </c>
      <c r="AR75">
        <f t="shared" si="37"/>
        <v>-1.6714341846758278</v>
      </c>
      <c r="AS75">
        <f t="shared" si="37"/>
        <v>-4.4110784313725482</v>
      </c>
      <c r="AT75">
        <f t="shared" si="37"/>
        <v>-1.9825165562913936</v>
      </c>
      <c r="AU75">
        <f t="shared" si="37"/>
        <v>-7.174612403100773</v>
      </c>
      <c r="AV75">
        <f t="shared" si="37"/>
        <v>21.621621674214751</v>
      </c>
      <c r="AW75">
        <f t="shared" si="37"/>
        <v>-0.19817475728155198</v>
      </c>
      <c r="AX75">
        <f t="shared" si="37"/>
        <v>3.3333333333333304</v>
      </c>
      <c r="AY75">
        <f t="shared" si="37"/>
        <v>-4.8684210526316178</v>
      </c>
      <c r="AZ75">
        <f t="shared" si="37"/>
        <v>-3.9813193717277517</v>
      </c>
      <c r="BA75">
        <f t="shared" si="37"/>
        <v>-4.7096588235294075</v>
      </c>
      <c r="BB75">
        <f t="shared" si="37"/>
        <v>2.7070269964925155</v>
      </c>
    </row>
    <row r="76" spans="13:56" x14ac:dyDescent="0.25">
      <c r="Y76" t="s">
        <v>8</v>
      </c>
      <c r="Z76">
        <f t="shared" si="38"/>
        <v>46.43</v>
      </c>
      <c r="AA76">
        <f t="shared" si="37"/>
        <v>15.091320754716975</v>
      </c>
      <c r="AB76">
        <f t="shared" si="37"/>
        <v>5.3074801061007859</v>
      </c>
      <c r="AC76">
        <f t="shared" si="37"/>
        <v>-9.1477804295942722</v>
      </c>
      <c r="AD76">
        <f t="shared" si="37"/>
        <v>-1.4399999999999968</v>
      </c>
      <c r="AE76">
        <f t="shared" si="37"/>
        <v>33.333333333333329</v>
      </c>
      <c r="AF76">
        <f t="shared" si="37"/>
        <v>10.811891891891889</v>
      </c>
      <c r="AG76">
        <f t="shared" si="37"/>
        <v>-0.80000000000000071</v>
      </c>
      <c r="AH76">
        <f t="shared" si="37"/>
        <v>-4.6875675675675703</v>
      </c>
      <c r="AI76">
        <f t="shared" si="37"/>
        <v>2.6443773584905639</v>
      </c>
      <c r="AJ76">
        <f t="shared" si="37"/>
        <v>169.63357142857146</v>
      </c>
      <c r="AK76">
        <f t="shared" si="37"/>
        <v>1.0421989528795828</v>
      </c>
      <c r="AL76">
        <f t="shared" si="37"/>
        <v>-3.6498316970547013</v>
      </c>
      <c r="AM76">
        <f t="shared" si="37"/>
        <v>9.2105263157894797</v>
      </c>
      <c r="AN76">
        <f t="shared" si="37"/>
        <v>3.5317647058823556</v>
      </c>
      <c r="AO76">
        <f t="shared" si="37"/>
        <v>1.5892517006802716</v>
      </c>
      <c r="AP76">
        <f t="shared" si="37"/>
        <v>-4.0408385093167709</v>
      </c>
      <c r="AQ76">
        <f t="shared" si="37"/>
        <v>-4.31374442793462</v>
      </c>
      <c r="AR76">
        <f t="shared" si="37"/>
        <v>6.3745802337938455</v>
      </c>
      <c r="AS76">
        <f t="shared" si="37"/>
        <v>5.6918157181571729</v>
      </c>
      <c r="AT76">
        <f t="shared" si="37"/>
        <v>-0.88857142857141413</v>
      </c>
      <c r="AU76">
        <f t="shared" si="37"/>
        <v>-5.058671952428142</v>
      </c>
      <c r="AV76">
        <f t="shared" si="37"/>
        <v>23.287671178832802</v>
      </c>
      <c r="AW76">
        <f t="shared" si="37"/>
        <v>1.9800396825396767</v>
      </c>
      <c r="AX76">
        <f t="shared" si="37"/>
        <v>5.0847457627118713</v>
      </c>
      <c r="AY76">
        <f t="shared" si="37"/>
        <v>-4.61741424802113</v>
      </c>
      <c r="AZ76">
        <f t="shared" si="37"/>
        <v>-3.7798111227702083</v>
      </c>
      <c r="BA76">
        <f t="shared" si="37"/>
        <v>-4.0322393364928848</v>
      </c>
      <c r="BB76">
        <f t="shared" si="37"/>
        <v>2.7070269964925155</v>
      </c>
      <c r="BD76">
        <f>MAX(Z69:BB76)</f>
        <v>10543.97777777788</v>
      </c>
    </row>
    <row r="77" spans="13:56" x14ac:dyDescent="0.25">
      <c r="Y77" t="s">
        <v>0</v>
      </c>
    </row>
    <row r="87" spans="13:22" x14ac:dyDescent="0.25">
      <c r="M87" s="1"/>
      <c r="N87" s="1"/>
      <c r="O87" s="1"/>
      <c r="P87" s="1"/>
      <c r="Q87" s="1"/>
      <c r="R87" s="1"/>
      <c r="S87" s="1"/>
      <c r="T87" s="1"/>
      <c r="U87" s="1"/>
      <c r="V87" s="1"/>
    </row>
    <row r="99" spans="13:22" x14ac:dyDescent="0.25">
      <c r="M99" s="1"/>
      <c r="N99" s="1"/>
      <c r="O99" s="1"/>
      <c r="P99" s="1"/>
      <c r="Q99" s="1"/>
      <c r="R99" s="1"/>
      <c r="S99" s="1"/>
      <c r="T99" s="1"/>
      <c r="U99" s="1"/>
      <c r="V99" s="1"/>
    </row>
    <row r="111" spans="13:22" x14ac:dyDescent="0.25"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9" spans="1:22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3" spans="1:22" x14ac:dyDescent="0.25"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6" spans="1:22" x14ac:dyDescent="0.25">
      <c r="B126" s="1"/>
      <c r="C126" s="1"/>
      <c r="D126" s="1"/>
      <c r="E126" s="1"/>
      <c r="F126" s="1"/>
      <c r="G126" s="1"/>
      <c r="H126" s="1"/>
      <c r="I126" s="1"/>
      <c r="J126" s="1"/>
    </row>
    <row r="132" spans="1:22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5" spans="1:22" x14ac:dyDescent="0.25"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9" spans="1:22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7" spans="13:22" x14ac:dyDescent="0.25"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59" spans="13:22" x14ac:dyDescent="0.25"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71" spans="13:22" x14ac:dyDescent="0.25"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83" spans="13:22" x14ac:dyDescent="0.25"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95" spans="13:22" x14ac:dyDescent="0.25"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207" spans="13:22" x14ac:dyDescent="0.25"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31" spans="39:39" x14ac:dyDescent="0.25">
      <c r="AM231">
        <f t="shared" ref="AM231" si="39">MAX(W257:W265)</f>
        <v>0</v>
      </c>
    </row>
  </sheetData>
  <pageMargins left="0.7" right="0.7" top="0.75" bottom="0.75" header="0.3" footer="0.3"/>
  <pageSetup paperSize="9" orientation="portrait" horizontalDpi="4294967294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5B1F0-33CB-4EC7-95C0-7368A15F0176}">
  <dimension ref="A1:AD263"/>
  <sheetViews>
    <sheetView topLeftCell="A204" zoomScale="69" zoomScaleNormal="55" workbookViewId="0">
      <selection activeCell="P255" sqref="P255"/>
    </sheetView>
  </sheetViews>
  <sheetFormatPr defaultRowHeight="15" x14ac:dyDescent="0.25"/>
  <sheetData>
    <row r="1" spans="1:29" x14ac:dyDescent="0.25">
      <c r="A1" t="s">
        <v>31</v>
      </c>
    </row>
    <row r="2" spans="1:29" x14ac:dyDescent="0.25"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M2" s="6" t="s">
        <v>1</v>
      </c>
      <c r="N2" s="6" t="s">
        <v>2</v>
      </c>
      <c r="O2" s="6" t="s">
        <v>3</v>
      </c>
      <c r="P2" s="6" t="s">
        <v>4</v>
      </c>
      <c r="Q2" s="6" t="s">
        <v>5</v>
      </c>
      <c r="R2" s="6" t="s">
        <v>6</v>
      </c>
      <c r="S2" s="6" t="s">
        <v>7</v>
      </c>
      <c r="T2" s="6" t="s">
        <v>8</v>
      </c>
    </row>
    <row r="3" spans="1:29" x14ac:dyDescent="0.25">
      <c r="A3">
        <v>10</v>
      </c>
      <c r="B3">
        <v>0.81818181818181823</v>
      </c>
      <c r="C3">
        <v>0.75</v>
      </c>
      <c r="D3">
        <v>0.6428571428571429</v>
      </c>
      <c r="E3">
        <v>0.61538461538461542</v>
      </c>
      <c r="F3">
        <v>0.5714285714285714</v>
      </c>
      <c r="G3">
        <v>0.69230769230769229</v>
      </c>
      <c r="H3">
        <v>0.75</v>
      </c>
      <c r="I3">
        <v>0.75</v>
      </c>
      <c r="J3">
        <v>0.75</v>
      </c>
      <c r="M3">
        <f>B3-C3</f>
        <v>6.8181818181818232E-2</v>
      </c>
      <c r="N3">
        <f>B3-D3</f>
        <v>0.17532467532467533</v>
      </c>
      <c r="O3">
        <f>B3-E3</f>
        <v>0.20279720279720281</v>
      </c>
      <c r="P3">
        <f>B3-F3</f>
        <v>0.24675324675324684</v>
      </c>
      <c r="Q3">
        <f>B3-G3</f>
        <v>0.12587412587412594</v>
      </c>
      <c r="R3">
        <f>B3-H3</f>
        <v>6.8181818181818232E-2</v>
      </c>
      <c r="S3">
        <f>B3-I3</f>
        <v>6.8181818181818232E-2</v>
      </c>
      <c r="T3">
        <f>B3-J3</f>
        <v>6.8181818181818232E-2</v>
      </c>
    </row>
    <row r="4" spans="1:29" x14ac:dyDescent="0.25">
      <c r="A4">
        <v>15</v>
      </c>
      <c r="B4">
        <v>1</v>
      </c>
      <c r="C4">
        <v>0.83333333333333337</v>
      </c>
      <c r="D4">
        <v>0.78947368421052633</v>
      </c>
      <c r="E4">
        <v>0.65</v>
      </c>
      <c r="F4">
        <v>0.83333333333333337</v>
      </c>
      <c r="G4">
        <v>0.75</v>
      </c>
      <c r="H4">
        <v>0.73684210526315785</v>
      </c>
      <c r="I4">
        <v>0.73684210526315785</v>
      </c>
      <c r="J4">
        <v>0.73684210526315785</v>
      </c>
      <c r="M4">
        <f t="shared" ref="M4:M67" si="0">B4-C4</f>
        <v>0.16666666666666663</v>
      </c>
      <c r="N4">
        <f t="shared" ref="N4:N67" si="1">B4-D4</f>
        <v>0.21052631578947367</v>
      </c>
      <c r="O4">
        <f t="shared" ref="O4:O67" si="2">B4-E4</f>
        <v>0.35</v>
      </c>
      <c r="P4">
        <f t="shared" ref="P4:P67" si="3">B4-F4</f>
        <v>0.16666666666666663</v>
      </c>
      <c r="Q4">
        <f t="shared" ref="Q4:Q67" si="4">B4-G4</f>
        <v>0.25</v>
      </c>
      <c r="R4">
        <f t="shared" ref="R4:R67" si="5">B4-H4</f>
        <v>0.26315789473684215</v>
      </c>
      <c r="S4">
        <f t="shared" ref="S4:S67" si="6">B4-I4</f>
        <v>0.26315789473684215</v>
      </c>
      <c r="T4">
        <f t="shared" ref="T4:T67" si="7">B4-J4</f>
        <v>0.26315789473684215</v>
      </c>
    </row>
    <row r="5" spans="1:29" x14ac:dyDescent="0.25">
      <c r="A5">
        <v>20</v>
      </c>
      <c r="B5">
        <v>0.86956521739130432</v>
      </c>
      <c r="C5">
        <v>0.62962962962962965</v>
      </c>
      <c r="D5">
        <v>0.7142857142857143</v>
      </c>
      <c r="E5">
        <v>0.5714285714285714</v>
      </c>
      <c r="F5">
        <v>0.62962962962962965</v>
      </c>
      <c r="G5">
        <v>0.76923076923076927</v>
      </c>
      <c r="H5">
        <v>0.83333333333333337</v>
      </c>
      <c r="I5">
        <v>0.83333333333333337</v>
      </c>
      <c r="J5">
        <v>0.5714285714285714</v>
      </c>
      <c r="M5">
        <f t="shared" si="0"/>
        <v>0.23993558776167467</v>
      </c>
      <c r="N5">
        <f t="shared" si="1"/>
        <v>0.15527950310559002</v>
      </c>
      <c r="O5">
        <f t="shared" si="2"/>
        <v>0.29813664596273293</v>
      </c>
      <c r="P5">
        <f t="shared" si="3"/>
        <v>0.23993558776167467</v>
      </c>
      <c r="Q5">
        <f t="shared" si="4"/>
        <v>0.10033444816053505</v>
      </c>
      <c r="R5">
        <f t="shared" si="5"/>
        <v>3.6231884057970953E-2</v>
      </c>
      <c r="S5">
        <f t="shared" si="6"/>
        <v>3.6231884057970953E-2</v>
      </c>
      <c r="T5">
        <f t="shared" si="7"/>
        <v>0.29813664596273293</v>
      </c>
    </row>
    <row r="6" spans="1:29" x14ac:dyDescent="0.25">
      <c r="A6">
        <v>25</v>
      </c>
      <c r="B6">
        <v>0.9285714285714286</v>
      </c>
      <c r="C6">
        <v>0.71875</v>
      </c>
      <c r="D6">
        <v>0.75</v>
      </c>
      <c r="E6">
        <v>0.61764705882352944</v>
      </c>
      <c r="F6">
        <v>0.77419354838709675</v>
      </c>
      <c r="G6">
        <v>0.75757575757575757</v>
      </c>
      <c r="H6">
        <v>0.66666666666666663</v>
      </c>
      <c r="I6">
        <v>0.77419354838709675</v>
      </c>
      <c r="J6">
        <v>0.61764705882352944</v>
      </c>
      <c r="M6">
        <f t="shared" si="0"/>
        <v>0.2098214285714286</v>
      </c>
      <c r="N6">
        <f t="shared" si="1"/>
        <v>0.1785714285714286</v>
      </c>
      <c r="O6">
        <f t="shared" si="2"/>
        <v>0.31092436974789917</v>
      </c>
      <c r="P6">
        <f t="shared" si="3"/>
        <v>0.15437788018433185</v>
      </c>
      <c r="Q6">
        <f t="shared" si="4"/>
        <v>0.17099567099567103</v>
      </c>
      <c r="R6">
        <f t="shared" si="5"/>
        <v>0.26190476190476197</v>
      </c>
      <c r="S6">
        <f t="shared" si="6"/>
        <v>0.15437788018433185</v>
      </c>
      <c r="T6">
        <f t="shared" si="7"/>
        <v>0.31092436974789917</v>
      </c>
    </row>
    <row r="7" spans="1:29" x14ac:dyDescent="0.25">
      <c r="A7">
        <v>30</v>
      </c>
      <c r="B7">
        <v>0.88235294117647056</v>
      </c>
      <c r="C7">
        <v>0.71052631578947367</v>
      </c>
      <c r="D7">
        <v>0.52380952380952384</v>
      </c>
      <c r="E7">
        <v>0.54761904761904767</v>
      </c>
      <c r="F7">
        <v>0.71052631578947367</v>
      </c>
      <c r="G7">
        <v>0.7</v>
      </c>
      <c r="H7">
        <v>0.66666666666666663</v>
      </c>
      <c r="I7">
        <v>0.71052631578947367</v>
      </c>
      <c r="J7">
        <v>0.66666666666666663</v>
      </c>
      <c r="M7">
        <f t="shared" si="0"/>
        <v>0.17182662538699689</v>
      </c>
      <c r="N7">
        <f t="shared" si="1"/>
        <v>0.35854341736694673</v>
      </c>
      <c r="O7">
        <f t="shared" si="2"/>
        <v>0.33473389355742289</v>
      </c>
      <c r="P7">
        <f t="shared" si="3"/>
        <v>0.17182662538699689</v>
      </c>
      <c r="Q7">
        <f t="shared" si="4"/>
        <v>0.18235294117647061</v>
      </c>
      <c r="R7">
        <f t="shared" si="5"/>
        <v>0.21568627450980393</v>
      </c>
      <c r="S7">
        <f t="shared" si="6"/>
        <v>0.17182662538699689</v>
      </c>
      <c r="T7">
        <f t="shared" si="7"/>
        <v>0.21568627450980393</v>
      </c>
    </row>
    <row r="8" spans="1:29" x14ac:dyDescent="0.25">
      <c r="A8">
        <v>35</v>
      </c>
      <c r="B8">
        <v>0.77777777777777779</v>
      </c>
      <c r="C8">
        <v>0.66666666666666663</v>
      </c>
      <c r="D8">
        <v>0.19090909090909089</v>
      </c>
      <c r="E8">
        <v>0.4814814814814814</v>
      </c>
      <c r="F8">
        <v>0.66666666666666663</v>
      </c>
      <c r="G8">
        <v>0.7</v>
      </c>
      <c r="H8">
        <v>0.7021276595744681</v>
      </c>
      <c r="I8">
        <v>0.77777777777777779</v>
      </c>
      <c r="J8">
        <v>0.6</v>
      </c>
      <c r="M8">
        <f t="shared" si="0"/>
        <v>0.11111111111111116</v>
      </c>
      <c r="N8">
        <f t="shared" si="1"/>
        <v>0.58686868686868687</v>
      </c>
      <c r="O8">
        <f t="shared" si="2"/>
        <v>0.29629629629629639</v>
      </c>
      <c r="P8">
        <f t="shared" si="3"/>
        <v>0.11111111111111116</v>
      </c>
      <c r="Q8">
        <f t="shared" si="4"/>
        <v>7.7777777777777835E-2</v>
      </c>
      <c r="R8">
        <f t="shared" si="5"/>
        <v>7.5650118203309691E-2</v>
      </c>
      <c r="S8">
        <f t="shared" si="6"/>
        <v>0</v>
      </c>
      <c r="T8">
        <f t="shared" si="7"/>
        <v>0.17777777777777781</v>
      </c>
    </row>
    <row r="9" spans="1:29" x14ac:dyDescent="0.25">
      <c r="A9">
        <v>40</v>
      </c>
      <c r="B9">
        <v>0.69090909090909092</v>
      </c>
      <c r="C9">
        <v>0.6428571428571429</v>
      </c>
      <c r="D9">
        <v>0.1103752759381898</v>
      </c>
      <c r="E9">
        <v>0.41791044776119401</v>
      </c>
      <c r="F9">
        <v>0.67272727272727273</v>
      </c>
      <c r="G9">
        <v>0.62295081967213117</v>
      </c>
      <c r="H9">
        <v>0.61403508771929827</v>
      </c>
      <c r="I9">
        <v>0.70370370370370372</v>
      </c>
      <c r="J9">
        <v>0.50819672131147542</v>
      </c>
      <c r="M9">
        <f t="shared" si="0"/>
        <v>4.8051948051948012E-2</v>
      </c>
      <c r="N9">
        <f t="shared" si="1"/>
        <v>0.58053381497090117</v>
      </c>
      <c r="O9">
        <f t="shared" si="2"/>
        <v>0.2729986431478969</v>
      </c>
      <c r="P9">
        <f t="shared" si="3"/>
        <v>1.8181818181818188E-2</v>
      </c>
      <c r="Q9">
        <f t="shared" si="4"/>
        <v>6.7958271236959744E-2</v>
      </c>
      <c r="R9">
        <f t="shared" si="5"/>
        <v>7.687400318979265E-2</v>
      </c>
      <c r="S9">
        <f t="shared" si="6"/>
        <v>-1.2794612794612803E-2</v>
      </c>
      <c r="T9">
        <f t="shared" si="7"/>
        <v>0.1827123695976155</v>
      </c>
    </row>
    <row r="10" spans="1:29" s="10" customFormat="1" x14ac:dyDescent="0.25">
      <c r="A10" s="10" t="s">
        <v>56</v>
      </c>
      <c r="B10" s="10">
        <f>AVERAGE(B3:B9)</f>
        <v>0.85247975342969851</v>
      </c>
      <c r="C10" s="10">
        <f t="shared" ref="C10:J10" si="8">AVERAGE(C3:C9)</f>
        <v>0.70739472689660676</v>
      </c>
      <c r="D10" s="10">
        <f t="shared" si="8"/>
        <v>0.53167291885859835</v>
      </c>
      <c r="E10" s="10">
        <f t="shared" si="8"/>
        <v>0.55735303178549134</v>
      </c>
      <c r="F10" s="10">
        <f t="shared" si="8"/>
        <v>0.6940721911374349</v>
      </c>
      <c r="G10" s="10">
        <f t="shared" si="8"/>
        <v>0.71315214839805019</v>
      </c>
      <c r="H10" s="10">
        <f t="shared" si="8"/>
        <v>0.70995307417479858</v>
      </c>
      <c r="I10" s="10">
        <f t="shared" si="8"/>
        <v>0.75519668346493474</v>
      </c>
      <c r="J10" s="10">
        <f t="shared" si="8"/>
        <v>0.63582587478477159</v>
      </c>
      <c r="M10" s="10">
        <f t="shared" si="0"/>
        <v>0.14508502653309174</v>
      </c>
      <c r="N10" s="10">
        <f t="shared" si="1"/>
        <v>0.32080683457110015</v>
      </c>
      <c r="O10" s="10">
        <f t="shared" si="2"/>
        <v>0.29512672164420717</v>
      </c>
      <c r="P10" s="10">
        <f t="shared" si="3"/>
        <v>0.1584075622922636</v>
      </c>
      <c r="Q10" s="10">
        <f t="shared" si="4"/>
        <v>0.13932760503164832</v>
      </c>
      <c r="R10" s="10">
        <f t="shared" si="5"/>
        <v>0.14252667925489992</v>
      </c>
      <c r="S10" s="10">
        <f t="shared" si="6"/>
        <v>9.7283069964763769E-2</v>
      </c>
      <c r="T10" s="10">
        <f t="shared" si="7"/>
        <v>0.21665387864492691</v>
      </c>
      <c r="V10" s="10">
        <f>M10/C10</f>
        <v>0.2050976930088107</v>
      </c>
      <c r="W10" s="10">
        <f t="shared" ref="W10:AA10" si="9">N10/D10</f>
        <v>0.60339133928395683</v>
      </c>
      <c r="X10" s="10">
        <f t="shared" si="9"/>
        <v>0.52951487623340443</v>
      </c>
      <c r="Y10" s="10">
        <f t="shared" si="9"/>
        <v>0.22822923078457835</v>
      </c>
      <c r="Z10" s="10">
        <f t="shared" si="9"/>
        <v>0.19536869564877449</v>
      </c>
      <c r="AA10" s="10">
        <f t="shared" si="9"/>
        <v>0.20075507021441283</v>
      </c>
      <c r="AB10" s="10">
        <f>S10/I10</f>
        <v>0.12881819014143064</v>
      </c>
      <c r="AC10" s="10">
        <f t="shared" ref="AC10" si="10">T10/J10</f>
        <v>0.34074404209841996</v>
      </c>
    </row>
    <row r="11" spans="1:29" x14ac:dyDescent="0.25">
      <c r="A11">
        <v>10</v>
      </c>
      <c r="B11">
        <v>1</v>
      </c>
      <c r="C11">
        <v>0.5</v>
      </c>
      <c r="D11">
        <v>0.32258064516129031</v>
      </c>
      <c r="E11">
        <v>0.33333333333333331</v>
      </c>
      <c r="F11">
        <v>0.5</v>
      </c>
      <c r="G11">
        <v>0.7142857142857143</v>
      </c>
      <c r="H11">
        <v>0.6428571428571429</v>
      </c>
      <c r="I11">
        <v>0.76923076923076927</v>
      </c>
      <c r="J11">
        <v>0.33333333333333331</v>
      </c>
      <c r="M11">
        <f t="shared" si="0"/>
        <v>0.5</v>
      </c>
      <c r="N11">
        <f t="shared" si="1"/>
        <v>0.67741935483870974</v>
      </c>
      <c r="O11">
        <f t="shared" si="2"/>
        <v>0.66666666666666674</v>
      </c>
      <c r="P11">
        <f t="shared" si="3"/>
        <v>0.5</v>
      </c>
      <c r="Q11">
        <f t="shared" si="4"/>
        <v>0.2857142857142857</v>
      </c>
      <c r="R11">
        <f t="shared" si="5"/>
        <v>0.3571428571428571</v>
      </c>
      <c r="S11">
        <f t="shared" si="6"/>
        <v>0.23076923076923073</v>
      </c>
      <c r="T11">
        <f t="shared" si="7"/>
        <v>0.66666666666666674</v>
      </c>
    </row>
    <row r="12" spans="1:29" x14ac:dyDescent="0.25">
      <c r="A12">
        <v>15</v>
      </c>
      <c r="B12">
        <v>1</v>
      </c>
      <c r="C12">
        <v>0.47619047619047611</v>
      </c>
      <c r="D12">
        <v>0.234375</v>
      </c>
      <c r="E12">
        <v>0.40909090909090912</v>
      </c>
      <c r="F12">
        <v>0.40909090909090912</v>
      </c>
      <c r="G12">
        <v>0.58333333333333337</v>
      </c>
      <c r="H12">
        <v>0.61904761904761907</v>
      </c>
      <c r="I12">
        <v>0.78947368421052633</v>
      </c>
      <c r="J12">
        <v>0.40909090909090912</v>
      </c>
      <c r="M12">
        <f t="shared" si="0"/>
        <v>0.52380952380952395</v>
      </c>
      <c r="N12">
        <f t="shared" si="1"/>
        <v>0.765625</v>
      </c>
      <c r="O12">
        <f t="shared" si="2"/>
        <v>0.59090909090909083</v>
      </c>
      <c r="P12">
        <f t="shared" si="3"/>
        <v>0.59090909090909083</v>
      </c>
      <c r="Q12">
        <f t="shared" si="4"/>
        <v>0.41666666666666663</v>
      </c>
      <c r="R12">
        <f t="shared" si="5"/>
        <v>0.38095238095238093</v>
      </c>
      <c r="S12">
        <f t="shared" si="6"/>
        <v>0.21052631578947367</v>
      </c>
      <c r="T12">
        <f t="shared" si="7"/>
        <v>0.59090909090909083</v>
      </c>
    </row>
    <row r="13" spans="1:29" x14ac:dyDescent="0.25">
      <c r="A13">
        <v>20</v>
      </c>
      <c r="B13">
        <v>0.90909090909090917</v>
      </c>
      <c r="C13">
        <v>0.62962962962962965</v>
      </c>
      <c r="D13">
        <v>0.328125</v>
      </c>
      <c r="E13">
        <v>0.43333333333333329</v>
      </c>
      <c r="F13">
        <v>0.62962962962962965</v>
      </c>
      <c r="G13">
        <v>0.66666666666666663</v>
      </c>
      <c r="H13">
        <v>0.76923076923076927</v>
      </c>
      <c r="I13">
        <v>0.8</v>
      </c>
      <c r="J13">
        <v>0.5</v>
      </c>
      <c r="M13">
        <f t="shared" si="0"/>
        <v>0.27946127946127952</v>
      </c>
      <c r="N13">
        <f t="shared" si="1"/>
        <v>0.58096590909090917</v>
      </c>
      <c r="O13">
        <f t="shared" si="2"/>
        <v>0.47575757575757588</v>
      </c>
      <c r="P13">
        <f t="shared" si="3"/>
        <v>0.27946127946127952</v>
      </c>
      <c r="Q13">
        <f t="shared" si="4"/>
        <v>0.24242424242424254</v>
      </c>
      <c r="R13">
        <f t="shared" si="5"/>
        <v>0.1398601398601399</v>
      </c>
      <c r="S13">
        <f t="shared" si="6"/>
        <v>0.10909090909090913</v>
      </c>
      <c r="T13">
        <f t="shared" si="7"/>
        <v>0.40909090909090917</v>
      </c>
    </row>
    <row r="14" spans="1:29" x14ac:dyDescent="0.25">
      <c r="A14">
        <v>25</v>
      </c>
      <c r="B14">
        <v>0.92592592592592604</v>
      </c>
      <c r="C14">
        <v>0.54285714285714282</v>
      </c>
      <c r="D14">
        <v>0.40625</v>
      </c>
      <c r="E14">
        <v>0.42105263157894729</v>
      </c>
      <c r="F14">
        <v>0.54285714285714282</v>
      </c>
      <c r="G14">
        <v>0.58139534883720934</v>
      </c>
      <c r="H14">
        <v>0.70588235294117652</v>
      </c>
      <c r="I14">
        <v>0.77419354838709675</v>
      </c>
      <c r="J14">
        <v>0.54285714285714282</v>
      </c>
      <c r="M14">
        <f t="shared" si="0"/>
        <v>0.38306878306878323</v>
      </c>
      <c r="N14">
        <f t="shared" si="1"/>
        <v>0.51967592592592604</v>
      </c>
      <c r="O14">
        <f t="shared" si="2"/>
        <v>0.5048732943469787</v>
      </c>
      <c r="P14">
        <f t="shared" si="3"/>
        <v>0.38306878306878323</v>
      </c>
      <c r="Q14">
        <f t="shared" si="4"/>
        <v>0.34453057708871671</v>
      </c>
      <c r="R14">
        <f t="shared" si="5"/>
        <v>0.22004357298474952</v>
      </c>
      <c r="S14">
        <f t="shared" si="6"/>
        <v>0.15173237753882929</v>
      </c>
      <c r="T14">
        <f t="shared" si="7"/>
        <v>0.38306878306878323</v>
      </c>
    </row>
    <row r="15" spans="1:29" x14ac:dyDescent="0.25">
      <c r="A15">
        <v>30</v>
      </c>
      <c r="B15">
        <v>1</v>
      </c>
      <c r="C15">
        <v>0.66666666666666663</v>
      </c>
      <c r="D15">
        <v>0.484375</v>
      </c>
      <c r="E15">
        <v>0.484375</v>
      </c>
      <c r="F15">
        <v>0.58536585365853655</v>
      </c>
      <c r="G15">
        <v>0.59615384615384615</v>
      </c>
      <c r="H15">
        <v>0.78947368421052633</v>
      </c>
      <c r="I15">
        <v>0.78947368421052633</v>
      </c>
      <c r="J15">
        <v>0.6097560975609756</v>
      </c>
      <c r="M15">
        <f t="shared" si="0"/>
        <v>0.33333333333333337</v>
      </c>
      <c r="N15">
        <f t="shared" si="1"/>
        <v>0.515625</v>
      </c>
      <c r="O15">
        <f t="shared" si="2"/>
        <v>0.515625</v>
      </c>
      <c r="P15">
        <f t="shared" si="3"/>
        <v>0.41463414634146345</v>
      </c>
      <c r="Q15">
        <f t="shared" si="4"/>
        <v>0.40384615384615385</v>
      </c>
      <c r="R15">
        <f t="shared" si="5"/>
        <v>0.21052631578947367</v>
      </c>
      <c r="S15">
        <f t="shared" si="6"/>
        <v>0.21052631578947367</v>
      </c>
      <c r="T15">
        <f t="shared" si="7"/>
        <v>0.3902439024390244</v>
      </c>
    </row>
    <row r="16" spans="1:29" x14ac:dyDescent="0.25">
      <c r="A16">
        <v>35</v>
      </c>
      <c r="B16">
        <v>1</v>
      </c>
      <c r="C16">
        <v>0.76086956521739135</v>
      </c>
      <c r="D16">
        <v>0.5625</v>
      </c>
      <c r="E16">
        <v>0.5625</v>
      </c>
      <c r="F16">
        <v>0.64583333333333337</v>
      </c>
      <c r="G16">
        <v>0.62068965517241381</v>
      </c>
      <c r="H16">
        <v>0.77272727272727271</v>
      </c>
      <c r="I16">
        <v>0.83720930232558144</v>
      </c>
      <c r="J16">
        <v>0.72340425531914898</v>
      </c>
      <c r="M16">
        <f t="shared" si="0"/>
        <v>0.23913043478260865</v>
      </c>
      <c r="N16">
        <f t="shared" si="1"/>
        <v>0.4375</v>
      </c>
      <c r="O16">
        <f t="shared" si="2"/>
        <v>0.4375</v>
      </c>
      <c r="P16">
        <f t="shared" si="3"/>
        <v>0.35416666666666663</v>
      </c>
      <c r="Q16">
        <f t="shared" si="4"/>
        <v>0.37931034482758619</v>
      </c>
      <c r="R16">
        <f t="shared" si="5"/>
        <v>0.22727272727272729</v>
      </c>
      <c r="S16">
        <f t="shared" si="6"/>
        <v>0.16279069767441856</v>
      </c>
      <c r="T16">
        <f t="shared" si="7"/>
        <v>0.27659574468085102</v>
      </c>
    </row>
    <row r="17" spans="1:29" x14ac:dyDescent="0.25">
      <c r="A17">
        <v>40</v>
      </c>
      <c r="B17">
        <v>1</v>
      </c>
      <c r="C17">
        <v>0.76923076923076927</v>
      </c>
      <c r="D17">
        <v>0.640625</v>
      </c>
      <c r="E17">
        <v>0.640625</v>
      </c>
      <c r="F17">
        <v>0.76470588235294112</v>
      </c>
      <c r="G17">
        <v>0.65079365079365081</v>
      </c>
      <c r="H17">
        <v>0.78431372549019607</v>
      </c>
      <c r="I17">
        <v>0.83673469387755106</v>
      </c>
      <c r="J17">
        <v>0.76923076923076927</v>
      </c>
      <c r="M17">
        <f t="shared" si="0"/>
        <v>0.23076923076923073</v>
      </c>
      <c r="N17">
        <f t="shared" si="1"/>
        <v>0.359375</v>
      </c>
      <c r="O17">
        <f t="shared" si="2"/>
        <v>0.359375</v>
      </c>
      <c r="P17">
        <f t="shared" si="3"/>
        <v>0.23529411764705888</v>
      </c>
      <c r="Q17">
        <f t="shared" si="4"/>
        <v>0.34920634920634919</v>
      </c>
      <c r="R17">
        <f t="shared" si="5"/>
        <v>0.21568627450980393</v>
      </c>
      <c r="S17">
        <f t="shared" si="6"/>
        <v>0.16326530612244894</v>
      </c>
      <c r="T17">
        <f t="shared" si="7"/>
        <v>0.23076923076923073</v>
      </c>
    </row>
    <row r="18" spans="1:29" s="10" customFormat="1" x14ac:dyDescent="0.25">
      <c r="A18" s="10" t="s">
        <v>57</v>
      </c>
      <c r="B18" s="10">
        <f>AVERAGE(B11:B17)</f>
        <v>0.97643097643097654</v>
      </c>
      <c r="C18" s="10">
        <f t="shared" ref="C18:J18" si="11">AVERAGE(C11:C17)</f>
        <v>0.62077774997029656</v>
      </c>
      <c r="D18" s="10">
        <f t="shared" si="11"/>
        <v>0.42554723502304143</v>
      </c>
      <c r="E18" s="10">
        <f t="shared" si="11"/>
        <v>0.46918717247664615</v>
      </c>
      <c r="F18" s="10">
        <f t="shared" si="11"/>
        <v>0.58249753584607045</v>
      </c>
      <c r="G18" s="10">
        <f t="shared" si="11"/>
        <v>0.63047403074897634</v>
      </c>
      <c r="H18" s="10">
        <f t="shared" si="11"/>
        <v>0.72621893807210036</v>
      </c>
      <c r="I18" s="10">
        <f t="shared" si="11"/>
        <v>0.79947366889172156</v>
      </c>
      <c r="J18" s="10">
        <f t="shared" si="11"/>
        <v>0.55538178677032557</v>
      </c>
      <c r="M18" s="10">
        <f t="shared" si="0"/>
        <v>0.35565322646067998</v>
      </c>
      <c r="N18" s="10">
        <f t="shared" si="1"/>
        <v>0.55088374140793506</v>
      </c>
      <c r="O18" s="10">
        <f t="shared" si="2"/>
        <v>0.50724380395433033</v>
      </c>
      <c r="P18" s="10">
        <f t="shared" si="3"/>
        <v>0.39393344058490609</v>
      </c>
      <c r="Q18" s="10">
        <f t="shared" si="4"/>
        <v>0.34595694568200019</v>
      </c>
      <c r="R18" s="10">
        <f t="shared" si="5"/>
        <v>0.25021203835887618</v>
      </c>
      <c r="S18" s="10">
        <f t="shared" si="6"/>
        <v>0.17695730753925498</v>
      </c>
      <c r="T18" s="10">
        <f t="shared" si="7"/>
        <v>0.42104918966065097</v>
      </c>
      <c r="V18" s="10">
        <f>M18/C18</f>
        <v>0.57291555065834354</v>
      </c>
      <c r="W18" s="10">
        <f t="shared" ref="W18" si="12">N18/D18</f>
        <v>1.2945301862391545</v>
      </c>
      <c r="X18" s="10">
        <f t="shared" ref="X18" si="13">O18/E18</f>
        <v>1.0811118327826374</v>
      </c>
      <c r="Y18" s="10">
        <f t="shared" ref="Y18" si="14">P18/F18</f>
        <v>0.67628344558183007</v>
      </c>
      <c r="Z18" s="10">
        <f t="shared" ref="Z18" si="15">Q18/G18</f>
        <v>0.54872513189959315</v>
      </c>
      <c r="AA18" s="10">
        <f t="shared" ref="AA18" si="16">R18/H18</f>
        <v>0.344540778601996</v>
      </c>
      <c r="AB18" s="10">
        <f>S18/I18</f>
        <v>0.22134225856939582</v>
      </c>
      <c r="AC18" s="10">
        <f t="shared" ref="AC18" si="17">T18/J18</f>
        <v>0.75812567082754023</v>
      </c>
    </row>
    <row r="19" spans="1:29" x14ac:dyDescent="0.25">
      <c r="A19">
        <v>10</v>
      </c>
      <c r="B19">
        <v>1</v>
      </c>
      <c r="C19">
        <v>0.66666666666666663</v>
      </c>
      <c r="D19">
        <v>0.3571428571428571</v>
      </c>
      <c r="E19">
        <v>0.5</v>
      </c>
      <c r="F19">
        <v>0.66666666666666663</v>
      </c>
      <c r="G19">
        <v>0.55555555555555558</v>
      </c>
      <c r="H19">
        <v>0.83333333333333337</v>
      </c>
      <c r="I19">
        <v>0.83333333333333337</v>
      </c>
      <c r="J19">
        <v>0.66666666666666663</v>
      </c>
      <c r="M19">
        <f t="shared" si="0"/>
        <v>0.33333333333333337</v>
      </c>
      <c r="N19">
        <f t="shared" si="1"/>
        <v>0.6428571428571429</v>
      </c>
      <c r="O19">
        <f t="shared" si="2"/>
        <v>0.5</v>
      </c>
      <c r="P19">
        <f t="shared" si="3"/>
        <v>0.33333333333333337</v>
      </c>
      <c r="Q19">
        <f t="shared" si="4"/>
        <v>0.44444444444444442</v>
      </c>
      <c r="R19">
        <f t="shared" si="5"/>
        <v>0.16666666666666663</v>
      </c>
      <c r="S19">
        <f t="shared" si="6"/>
        <v>0.16666666666666663</v>
      </c>
      <c r="T19">
        <f t="shared" si="7"/>
        <v>0.33333333333333337</v>
      </c>
    </row>
    <row r="20" spans="1:29" x14ac:dyDescent="0.25">
      <c r="A20">
        <v>15</v>
      </c>
      <c r="B20">
        <v>1</v>
      </c>
      <c r="C20">
        <v>0.68421052631578949</v>
      </c>
      <c r="D20">
        <v>0.3571428571428571</v>
      </c>
      <c r="E20">
        <v>0.39130434782608697</v>
      </c>
      <c r="F20">
        <v>0.61904761904761907</v>
      </c>
      <c r="G20">
        <v>0.55555555555555558</v>
      </c>
      <c r="H20">
        <v>0.78947368421052633</v>
      </c>
      <c r="I20">
        <v>0.78947368421052633</v>
      </c>
      <c r="J20">
        <v>0.47619047619047611</v>
      </c>
      <c r="M20">
        <f t="shared" si="0"/>
        <v>0.31578947368421051</v>
      </c>
      <c r="N20">
        <f t="shared" si="1"/>
        <v>0.6428571428571429</v>
      </c>
      <c r="O20">
        <f t="shared" si="2"/>
        <v>0.60869565217391308</v>
      </c>
      <c r="P20">
        <f t="shared" si="3"/>
        <v>0.38095238095238093</v>
      </c>
      <c r="Q20">
        <f t="shared" si="4"/>
        <v>0.44444444444444442</v>
      </c>
      <c r="R20">
        <f t="shared" si="5"/>
        <v>0.21052631578947367</v>
      </c>
      <c r="S20">
        <f t="shared" si="6"/>
        <v>0.21052631578947367</v>
      </c>
      <c r="T20">
        <f t="shared" si="7"/>
        <v>0.52380952380952395</v>
      </c>
    </row>
    <row r="21" spans="1:29" x14ac:dyDescent="0.25">
      <c r="A21">
        <v>20</v>
      </c>
      <c r="B21">
        <v>1</v>
      </c>
      <c r="C21">
        <v>0.6333333333333333</v>
      </c>
      <c r="D21">
        <v>0.47619047619047611</v>
      </c>
      <c r="E21">
        <v>0.47619047619047611</v>
      </c>
      <c r="F21">
        <v>0.61290322580645162</v>
      </c>
      <c r="G21">
        <v>0.55555555555555558</v>
      </c>
      <c r="H21">
        <v>0.7142857142857143</v>
      </c>
      <c r="I21">
        <v>0.65517241379310343</v>
      </c>
      <c r="J21">
        <v>0.6333333333333333</v>
      </c>
      <c r="M21">
        <f t="shared" si="0"/>
        <v>0.3666666666666667</v>
      </c>
      <c r="N21">
        <f t="shared" si="1"/>
        <v>0.52380952380952395</v>
      </c>
      <c r="O21">
        <f t="shared" si="2"/>
        <v>0.52380952380952395</v>
      </c>
      <c r="P21">
        <f t="shared" si="3"/>
        <v>0.38709677419354838</v>
      </c>
      <c r="Q21">
        <f t="shared" si="4"/>
        <v>0.44444444444444442</v>
      </c>
      <c r="R21">
        <f t="shared" si="5"/>
        <v>0.2857142857142857</v>
      </c>
      <c r="S21">
        <f t="shared" si="6"/>
        <v>0.34482758620689657</v>
      </c>
      <c r="T21">
        <f t="shared" si="7"/>
        <v>0.3666666666666667</v>
      </c>
    </row>
    <row r="22" spans="1:29" x14ac:dyDescent="0.25">
      <c r="A22">
        <v>25</v>
      </c>
      <c r="B22">
        <v>1</v>
      </c>
      <c r="C22">
        <v>0.68421052631578949</v>
      </c>
      <c r="D22">
        <v>0.61904761904761907</v>
      </c>
      <c r="E22">
        <v>0.61904761904761907</v>
      </c>
      <c r="F22">
        <v>0.6</v>
      </c>
      <c r="G22">
        <v>0.61904761904761907</v>
      </c>
      <c r="H22">
        <v>0.70270270270270274</v>
      </c>
      <c r="I22">
        <v>0.68421052631578949</v>
      </c>
      <c r="J22">
        <v>0.70270270270270274</v>
      </c>
      <c r="M22">
        <f t="shared" si="0"/>
        <v>0.31578947368421051</v>
      </c>
      <c r="N22">
        <f t="shared" si="1"/>
        <v>0.38095238095238093</v>
      </c>
      <c r="O22">
        <f t="shared" si="2"/>
        <v>0.38095238095238093</v>
      </c>
      <c r="P22">
        <f t="shared" si="3"/>
        <v>0.4</v>
      </c>
      <c r="Q22">
        <f t="shared" si="4"/>
        <v>0.38095238095238093</v>
      </c>
      <c r="R22">
        <f t="shared" si="5"/>
        <v>0.29729729729729726</v>
      </c>
      <c r="S22">
        <f t="shared" si="6"/>
        <v>0.31578947368421051</v>
      </c>
      <c r="T22">
        <f t="shared" si="7"/>
        <v>0.29729729729729726</v>
      </c>
    </row>
    <row r="23" spans="1:29" x14ac:dyDescent="0.25">
      <c r="A23">
        <v>30</v>
      </c>
      <c r="B23">
        <v>1</v>
      </c>
      <c r="C23">
        <v>0.73809523809523814</v>
      </c>
      <c r="D23">
        <v>0.73809523809523814</v>
      </c>
      <c r="E23">
        <v>0.73809523809523814</v>
      </c>
      <c r="F23">
        <v>0.73809523809523814</v>
      </c>
      <c r="G23">
        <v>0.73809523809523814</v>
      </c>
      <c r="H23">
        <v>0.73809523809523814</v>
      </c>
      <c r="I23">
        <v>0.73809523809523814</v>
      </c>
      <c r="J23">
        <v>0.73809523809523814</v>
      </c>
      <c r="M23">
        <f t="shared" si="0"/>
        <v>0.26190476190476186</v>
      </c>
      <c r="N23">
        <f t="shared" si="1"/>
        <v>0.26190476190476186</v>
      </c>
      <c r="O23">
        <f t="shared" si="2"/>
        <v>0.26190476190476186</v>
      </c>
      <c r="P23">
        <f t="shared" si="3"/>
        <v>0.26190476190476186</v>
      </c>
      <c r="Q23">
        <f t="shared" si="4"/>
        <v>0.26190476190476186</v>
      </c>
      <c r="R23">
        <f t="shared" si="5"/>
        <v>0.26190476190476186</v>
      </c>
      <c r="S23">
        <f t="shared" si="6"/>
        <v>0.26190476190476186</v>
      </c>
      <c r="T23">
        <f t="shared" si="7"/>
        <v>0.26190476190476186</v>
      </c>
    </row>
    <row r="24" spans="1:29" x14ac:dyDescent="0.25">
      <c r="A24">
        <v>35</v>
      </c>
      <c r="B24">
        <v>1</v>
      </c>
      <c r="C24">
        <v>0.8571428571428571</v>
      </c>
      <c r="D24">
        <v>0.8571428571428571</v>
      </c>
      <c r="E24">
        <v>0.8571428571428571</v>
      </c>
      <c r="F24">
        <v>0.8571428571428571</v>
      </c>
      <c r="G24">
        <v>0.8571428571428571</v>
      </c>
      <c r="H24">
        <v>0.8571428571428571</v>
      </c>
      <c r="I24">
        <v>0.8571428571428571</v>
      </c>
      <c r="J24">
        <v>0.8571428571428571</v>
      </c>
      <c r="M24">
        <f t="shared" si="0"/>
        <v>0.1428571428571429</v>
      </c>
      <c r="N24">
        <f t="shared" si="1"/>
        <v>0.1428571428571429</v>
      </c>
      <c r="O24">
        <f t="shared" si="2"/>
        <v>0.1428571428571429</v>
      </c>
      <c r="P24">
        <f t="shared" si="3"/>
        <v>0.1428571428571429</v>
      </c>
      <c r="Q24">
        <f t="shared" si="4"/>
        <v>0.1428571428571429</v>
      </c>
      <c r="R24">
        <f t="shared" si="5"/>
        <v>0.1428571428571429</v>
      </c>
      <c r="S24">
        <f t="shared" si="6"/>
        <v>0.1428571428571429</v>
      </c>
      <c r="T24">
        <f t="shared" si="7"/>
        <v>0.1428571428571429</v>
      </c>
    </row>
    <row r="25" spans="1:29" x14ac:dyDescent="0.25">
      <c r="A25">
        <v>40</v>
      </c>
      <c r="B25">
        <v>1</v>
      </c>
      <c r="C25">
        <v>0.97619047619047616</v>
      </c>
      <c r="D25">
        <v>0.97619047619047616</v>
      </c>
      <c r="E25">
        <v>0.97619047619047616</v>
      </c>
      <c r="F25">
        <v>0.97619047619047616</v>
      </c>
      <c r="G25">
        <v>0.97619047619047616</v>
      </c>
      <c r="H25">
        <v>0.97619047619047616</v>
      </c>
      <c r="I25">
        <v>0.97619047619047616</v>
      </c>
      <c r="J25">
        <v>0.97619047619047616</v>
      </c>
      <c r="M25">
        <f t="shared" si="0"/>
        <v>2.3809523809523836E-2</v>
      </c>
      <c r="N25">
        <f t="shared" si="1"/>
        <v>2.3809523809523836E-2</v>
      </c>
      <c r="O25">
        <f t="shared" si="2"/>
        <v>2.3809523809523836E-2</v>
      </c>
      <c r="P25">
        <f t="shared" si="3"/>
        <v>2.3809523809523836E-2</v>
      </c>
      <c r="Q25">
        <f t="shared" si="4"/>
        <v>2.3809523809523836E-2</v>
      </c>
      <c r="R25">
        <f t="shared" si="5"/>
        <v>2.3809523809523836E-2</v>
      </c>
      <c r="S25">
        <f t="shared" si="6"/>
        <v>2.3809523809523836E-2</v>
      </c>
      <c r="T25">
        <f t="shared" si="7"/>
        <v>2.3809523809523836E-2</v>
      </c>
    </row>
    <row r="26" spans="1:29" s="10" customFormat="1" x14ac:dyDescent="0.25">
      <c r="A26" s="10" t="s">
        <v>55</v>
      </c>
      <c r="B26" s="10">
        <f>AVERAGE(B19:B25)</f>
        <v>1</v>
      </c>
      <c r="C26" s="10">
        <f t="shared" ref="C26:J26" si="18">AVERAGE(C19:C25)</f>
        <v>0.74854994629430727</v>
      </c>
      <c r="D26" s="10">
        <f t="shared" si="18"/>
        <v>0.62585034013605434</v>
      </c>
      <c r="E26" s="10">
        <f t="shared" si="18"/>
        <v>0.65113871635610754</v>
      </c>
      <c r="F26" s="10">
        <f t="shared" si="18"/>
        <v>0.72429229756418689</v>
      </c>
      <c r="G26" s="10">
        <f t="shared" si="18"/>
        <v>0.69387755102040816</v>
      </c>
      <c r="H26" s="10">
        <f t="shared" si="18"/>
        <v>0.80160342942297824</v>
      </c>
      <c r="I26" s="10">
        <f t="shared" si="18"/>
        <v>0.79051693272590329</v>
      </c>
      <c r="J26" s="10">
        <f t="shared" si="18"/>
        <v>0.72147453576025</v>
      </c>
      <c r="M26" s="10">
        <f t="shared" si="0"/>
        <v>0.25145005370569273</v>
      </c>
      <c r="N26" s="10">
        <f t="shared" si="1"/>
        <v>0.37414965986394566</v>
      </c>
      <c r="O26" s="10">
        <f t="shared" si="2"/>
        <v>0.34886128364389246</v>
      </c>
      <c r="P26" s="10">
        <f t="shared" si="3"/>
        <v>0.27570770243581311</v>
      </c>
      <c r="Q26" s="10">
        <f t="shared" si="4"/>
        <v>0.30612244897959184</v>
      </c>
      <c r="R26" s="10">
        <f t="shared" si="5"/>
        <v>0.19839657057702176</v>
      </c>
      <c r="S26" s="10">
        <f t="shared" si="6"/>
        <v>0.20948306727409671</v>
      </c>
      <c r="T26" s="10">
        <f t="shared" si="7"/>
        <v>0.27852546423975</v>
      </c>
      <c r="V26" s="10">
        <f>M26/C26</f>
        <v>0.33591620031568364</v>
      </c>
      <c r="W26" s="10">
        <f t="shared" ref="W26" si="19">N26/D26</f>
        <v>0.59782608695652195</v>
      </c>
      <c r="X26" s="10">
        <f t="shared" ref="X26" si="20">O26/E26</f>
        <v>0.53577106518283013</v>
      </c>
      <c r="Y26" s="10">
        <f t="shared" ref="Y26" si="21">P26/F26</f>
        <v>0.38065806217051457</v>
      </c>
      <c r="Z26" s="10">
        <f t="shared" ref="Z26" si="22">Q26/G26</f>
        <v>0.44117647058823528</v>
      </c>
      <c r="AA26" s="10">
        <f t="shared" ref="AA26" si="23">R26/H26</f>
        <v>0.24749965293915277</v>
      </c>
      <c r="AB26" s="10">
        <f>S26/I26</f>
        <v>0.26499504134812885</v>
      </c>
      <c r="AC26" s="10">
        <f t="shared" ref="AC26" si="24">T26/J26</f>
        <v>0.38605030452842698</v>
      </c>
    </row>
    <row r="27" spans="1:29" x14ac:dyDescent="0.25">
      <c r="A27">
        <v>10</v>
      </c>
      <c r="B27">
        <v>5.2631578947368397E-2</v>
      </c>
      <c r="C27">
        <v>0</v>
      </c>
      <c r="D27">
        <v>0</v>
      </c>
      <c r="E27">
        <v>0</v>
      </c>
      <c r="F27">
        <v>0</v>
      </c>
      <c r="G27">
        <v>5.2631578947368397E-2</v>
      </c>
      <c r="H27">
        <v>5.2631578947368397E-2</v>
      </c>
      <c r="I27">
        <v>5.2631578947368397E-2</v>
      </c>
      <c r="J27">
        <v>0</v>
      </c>
      <c r="M27">
        <f t="shared" si="0"/>
        <v>5.2631578947368397E-2</v>
      </c>
      <c r="N27">
        <f t="shared" si="1"/>
        <v>5.2631578947368397E-2</v>
      </c>
      <c r="O27">
        <f t="shared" si="2"/>
        <v>5.2631578947368397E-2</v>
      </c>
      <c r="P27">
        <f t="shared" si="3"/>
        <v>5.2631578947368397E-2</v>
      </c>
      <c r="Q27">
        <f t="shared" si="4"/>
        <v>0</v>
      </c>
      <c r="R27">
        <f t="shared" si="5"/>
        <v>0</v>
      </c>
      <c r="S27">
        <f t="shared" si="6"/>
        <v>0</v>
      </c>
      <c r="T27">
        <f t="shared" si="7"/>
        <v>5.2631578947368397E-2</v>
      </c>
    </row>
    <row r="28" spans="1:29" x14ac:dyDescent="0.25">
      <c r="A28">
        <v>15</v>
      </c>
      <c r="B28">
        <v>0.29166666666666669</v>
      </c>
      <c r="C28">
        <v>6.8965517241379296E-2</v>
      </c>
      <c r="D28">
        <v>8.5714285714285701E-2</v>
      </c>
      <c r="E28">
        <v>6.8965517241379296E-2</v>
      </c>
      <c r="F28">
        <v>0</v>
      </c>
      <c r="G28">
        <v>3.3333333333333298E-2</v>
      </c>
      <c r="H28">
        <v>0.29166666666666669</v>
      </c>
      <c r="I28">
        <v>0.24</v>
      </c>
      <c r="J28">
        <v>6.8965517241379296E-2</v>
      </c>
      <c r="M28">
        <f t="shared" si="0"/>
        <v>0.2227011494252874</v>
      </c>
      <c r="N28">
        <f t="shared" si="1"/>
        <v>0.205952380952381</v>
      </c>
      <c r="O28">
        <f t="shared" si="2"/>
        <v>0.2227011494252874</v>
      </c>
      <c r="P28">
        <f t="shared" si="3"/>
        <v>0.29166666666666669</v>
      </c>
      <c r="Q28">
        <f t="shared" si="4"/>
        <v>0.25833333333333341</v>
      </c>
      <c r="R28">
        <f t="shared" si="5"/>
        <v>0</v>
      </c>
      <c r="S28">
        <f t="shared" si="6"/>
        <v>5.1666666666666694E-2</v>
      </c>
      <c r="T28">
        <f t="shared" si="7"/>
        <v>0.2227011494252874</v>
      </c>
    </row>
    <row r="29" spans="1:29" x14ac:dyDescent="0.25">
      <c r="A29">
        <v>20</v>
      </c>
      <c r="B29">
        <v>0.36666666666666659</v>
      </c>
      <c r="C29">
        <v>5.1282051282051197E-2</v>
      </c>
      <c r="D29">
        <v>0.19047619047619041</v>
      </c>
      <c r="E29">
        <v>5.1282051282051197E-2</v>
      </c>
      <c r="F29">
        <v>2.5000000000000001E-2</v>
      </c>
      <c r="G29">
        <v>7.1428571428571397E-2</v>
      </c>
      <c r="H29">
        <v>0.32258064516129031</v>
      </c>
      <c r="I29">
        <v>0.36666666666666659</v>
      </c>
      <c r="J29">
        <v>5.1282051282051197E-2</v>
      </c>
      <c r="M29">
        <f t="shared" si="0"/>
        <v>0.31538461538461537</v>
      </c>
      <c r="N29">
        <f t="shared" si="1"/>
        <v>0.17619047619047618</v>
      </c>
      <c r="O29">
        <f t="shared" si="2"/>
        <v>0.31538461538461537</v>
      </c>
      <c r="P29">
        <f t="shared" si="3"/>
        <v>0.34166666666666656</v>
      </c>
      <c r="Q29">
        <f t="shared" si="4"/>
        <v>0.29523809523809519</v>
      </c>
      <c r="R29">
        <f t="shared" si="5"/>
        <v>4.4086021505376272E-2</v>
      </c>
      <c r="S29">
        <f t="shared" si="6"/>
        <v>0</v>
      </c>
      <c r="T29">
        <f t="shared" si="7"/>
        <v>0.31538461538461537</v>
      </c>
    </row>
    <row r="30" spans="1:29" x14ac:dyDescent="0.25">
      <c r="A30">
        <v>25</v>
      </c>
      <c r="B30">
        <v>0.34210526315789469</v>
      </c>
      <c r="C30">
        <v>6.25E-2</v>
      </c>
      <c r="D30">
        <v>0.25490196078431371</v>
      </c>
      <c r="E30">
        <v>6.25E-2</v>
      </c>
      <c r="F30">
        <v>6.25E-2</v>
      </c>
      <c r="G30">
        <v>7.69230769230769E-2</v>
      </c>
      <c r="H30">
        <v>0.34210526315789469</v>
      </c>
      <c r="I30">
        <v>0.34210526315789469</v>
      </c>
      <c r="J30">
        <v>6.25E-2</v>
      </c>
      <c r="K30">
        <f>MIN(C27:J33)</f>
        <v>0</v>
      </c>
      <c r="M30">
        <f t="shared" si="0"/>
        <v>0.27960526315789469</v>
      </c>
      <c r="N30">
        <f t="shared" si="1"/>
        <v>8.7203302373580982E-2</v>
      </c>
      <c r="O30">
        <f t="shared" si="2"/>
        <v>0.27960526315789469</v>
      </c>
      <c r="P30">
        <f t="shared" si="3"/>
        <v>0.27960526315789469</v>
      </c>
      <c r="Q30">
        <f t="shared" si="4"/>
        <v>0.26518218623481782</v>
      </c>
      <c r="R30">
        <f t="shared" si="5"/>
        <v>0</v>
      </c>
      <c r="S30">
        <f t="shared" si="6"/>
        <v>0</v>
      </c>
      <c r="T30">
        <f t="shared" si="7"/>
        <v>0.27960526315789469</v>
      </c>
    </row>
    <row r="31" spans="1:29" x14ac:dyDescent="0.25">
      <c r="A31">
        <v>30</v>
      </c>
      <c r="B31">
        <v>0.45238095238095238</v>
      </c>
      <c r="C31">
        <v>0.15094339622641509</v>
      </c>
      <c r="D31">
        <v>0.365079365079365</v>
      </c>
      <c r="E31">
        <v>7.0175438596491196E-2</v>
      </c>
      <c r="F31">
        <v>7.0175438596491196E-2</v>
      </c>
      <c r="G31">
        <v>8.1967213114753995E-2</v>
      </c>
      <c r="H31">
        <v>0.41860465116279072</v>
      </c>
      <c r="I31">
        <v>0.41860465116279072</v>
      </c>
      <c r="J31">
        <v>0.109090909090909</v>
      </c>
      <c r="K31">
        <f>MAX(C27:J33)</f>
        <v>0.60784313725490191</v>
      </c>
      <c r="M31">
        <f t="shared" si="0"/>
        <v>0.30143755615453727</v>
      </c>
      <c r="N31">
        <f t="shared" si="1"/>
        <v>8.730158730158738E-2</v>
      </c>
      <c r="O31">
        <f t="shared" si="2"/>
        <v>0.38220551378446121</v>
      </c>
      <c r="P31">
        <f t="shared" si="3"/>
        <v>0.38220551378446121</v>
      </c>
      <c r="Q31">
        <f t="shared" si="4"/>
        <v>0.37041373926619836</v>
      </c>
      <c r="R31">
        <f t="shared" si="5"/>
        <v>3.3776301218161664E-2</v>
      </c>
      <c r="S31">
        <f t="shared" si="6"/>
        <v>3.3776301218161664E-2</v>
      </c>
      <c r="T31">
        <f t="shared" si="7"/>
        <v>0.34329004329004337</v>
      </c>
    </row>
    <row r="32" spans="1:29" x14ac:dyDescent="0.25">
      <c r="A32">
        <v>35</v>
      </c>
      <c r="B32">
        <v>0.53191489361702127</v>
      </c>
      <c r="C32">
        <v>0.2203389830508474</v>
      </c>
      <c r="D32">
        <v>0.375</v>
      </c>
      <c r="E32">
        <v>9.0909090909090898E-2</v>
      </c>
      <c r="F32">
        <v>0.14285714285714279</v>
      </c>
      <c r="G32">
        <v>0.1</v>
      </c>
      <c r="H32">
        <v>0.5</v>
      </c>
      <c r="I32">
        <v>0.5</v>
      </c>
      <c r="J32">
        <v>0.1612903225806451</v>
      </c>
      <c r="M32">
        <f t="shared" si="0"/>
        <v>0.31157591056617384</v>
      </c>
      <c r="N32">
        <f t="shared" si="1"/>
        <v>0.15691489361702127</v>
      </c>
      <c r="O32">
        <f t="shared" si="2"/>
        <v>0.44100580270793038</v>
      </c>
      <c r="P32">
        <f t="shared" si="3"/>
        <v>0.38905775075987847</v>
      </c>
      <c r="Q32">
        <f t="shared" si="4"/>
        <v>0.43191489361702129</v>
      </c>
      <c r="R32">
        <f t="shared" si="5"/>
        <v>3.1914893617021267E-2</v>
      </c>
      <c r="S32">
        <f t="shared" si="6"/>
        <v>3.1914893617021267E-2</v>
      </c>
      <c r="T32">
        <f t="shared" si="7"/>
        <v>0.37062457103637614</v>
      </c>
    </row>
    <row r="33" spans="1:29" x14ac:dyDescent="0.25">
      <c r="A33">
        <v>40</v>
      </c>
      <c r="B33">
        <v>0.64</v>
      </c>
      <c r="C33">
        <v>0.2615384615384615</v>
      </c>
      <c r="D33">
        <v>0.33333333333333331</v>
      </c>
      <c r="E33">
        <v>0.1081081081081081</v>
      </c>
      <c r="F33">
        <v>0.1714285714285714</v>
      </c>
      <c r="G33">
        <v>0.1012658227848101</v>
      </c>
      <c r="H33">
        <v>0.60784313725490191</v>
      </c>
      <c r="I33">
        <v>0.60784313725490191</v>
      </c>
      <c r="J33">
        <v>0.2238805970149253</v>
      </c>
      <c r="M33">
        <f t="shared" si="0"/>
        <v>0.37846153846153852</v>
      </c>
      <c r="N33">
        <f t="shared" si="1"/>
        <v>0.3066666666666667</v>
      </c>
      <c r="O33">
        <f t="shared" si="2"/>
        <v>0.5318918918918919</v>
      </c>
      <c r="P33">
        <f t="shared" si="3"/>
        <v>0.46857142857142864</v>
      </c>
      <c r="Q33">
        <f t="shared" si="4"/>
        <v>0.5387341772151899</v>
      </c>
      <c r="R33">
        <f t="shared" si="5"/>
        <v>3.2156862745098103E-2</v>
      </c>
      <c r="S33">
        <f t="shared" si="6"/>
        <v>3.2156862745098103E-2</v>
      </c>
      <c r="T33">
        <f t="shared" si="7"/>
        <v>0.41611940298507472</v>
      </c>
    </row>
    <row r="34" spans="1:29" s="10" customFormat="1" x14ac:dyDescent="0.25">
      <c r="A34" s="10" t="s">
        <v>58</v>
      </c>
      <c r="B34" s="10">
        <f>AVERAGE(B27:B33)</f>
        <v>0.38248086020522437</v>
      </c>
      <c r="C34" s="10">
        <f t="shared" ref="C34:J34" si="25">AVERAGE(C27:C33)</f>
        <v>0.11650977276273636</v>
      </c>
      <c r="D34" s="10">
        <f t="shared" si="25"/>
        <v>0.22921501934106975</v>
      </c>
      <c r="E34" s="10">
        <f t="shared" si="25"/>
        <v>6.4562886591017235E-2</v>
      </c>
      <c r="F34" s="10">
        <f t="shared" si="25"/>
        <v>6.7423021840315053E-2</v>
      </c>
      <c r="G34" s="10">
        <f t="shared" si="25"/>
        <v>7.3935656647416303E-2</v>
      </c>
      <c r="H34" s="10">
        <f t="shared" si="25"/>
        <v>0.36220456319298755</v>
      </c>
      <c r="I34" s="10">
        <f t="shared" si="25"/>
        <v>0.36112161388423175</v>
      </c>
      <c r="J34" s="10">
        <f t="shared" si="25"/>
        <v>9.6715628172844265E-2</v>
      </c>
      <c r="M34" s="10">
        <f t="shared" si="0"/>
        <v>0.26597108744248799</v>
      </c>
      <c r="N34" s="10">
        <f t="shared" si="1"/>
        <v>0.15326584086415462</v>
      </c>
      <c r="O34" s="10">
        <f t="shared" si="2"/>
        <v>0.31791797361420715</v>
      </c>
      <c r="P34" s="10">
        <f t="shared" si="3"/>
        <v>0.3150578383649093</v>
      </c>
      <c r="Q34" s="10">
        <f t="shared" si="4"/>
        <v>0.30854520355780807</v>
      </c>
      <c r="R34" s="10">
        <f t="shared" si="5"/>
        <v>2.0276297012236821E-2</v>
      </c>
      <c r="S34" s="10">
        <f t="shared" si="6"/>
        <v>2.135924632099262E-2</v>
      </c>
      <c r="T34" s="10">
        <f t="shared" si="7"/>
        <v>0.28576523203238013</v>
      </c>
      <c r="V34" s="10">
        <f>M34/C34</f>
        <v>2.2828221284416945</v>
      </c>
      <c r="W34" s="10">
        <f t="shared" ref="W34" si="26">N34/D34</f>
        <v>0.6686553145808326</v>
      </c>
      <c r="X34" s="10">
        <f t="shared" ref="X34" si="27">O34/E34</f>
        <v>4.924159844774346</v>
      </c>
      <c r="Y34" s="10">
        <f t="shared" ref="Y34" si="28">P34/F34</f>
        <v>4.6728525326422403</v>
      </c>
      <c r="Z34" s="10">
        <f t="shared" ref="Z34" si="29">Q34/G34</f>
        <v>4.1731583588848835</v>
      </c>
      <c r="AA34" s="10">
        <f t="shared" ref="AA34" si="30">R34/H34</f>
        <v>5.5980236233062954E-2</v>
      </c>
      <c r="AB34" s="10">
        <f>S34/I34</f>
        <v>5.9146961853797982E-2</v>
      </c>
      <c r="AC34" s="10">
        <f t="shared" ref="AC34" si="31">T34/J34</f>
        <v>2.9546955071384944</v>
      </c>
    </row>
    <row r="35" spans="1:29" x14ac:dyDescent="0.25">
      <c r="A35">
        <v>10</v>
      </c>
      <c r="B35">
        <v>0.1764705882352941</v>
      </c>
      <c r="C35">
        <v>5.2631578947368397E-2</v>
      </c>
      <c r="D35">
        <v>0.05</v>
      </c>
      <c r="E35">
        <v>5.2631578947368397E-2</v>
      </c>
      <c r="F35">
        <v>5.2631578947368397E-2</v>
      </c>
      <c r="G35">
        <v>0.05</v>
      </c>
      <c r="H35">
        <v>5.2631578947368397E-2</v>
      </c>
      <c r="I35">
        <v>0.1111111111111111</v>
      </c>
      <c r="J35">
        <v>5.2631578947368397E-2</v>
      </c>
      <c r="M35">
        <f t="shared" si="0"/>
        <v>0.12383900928792571</v>
      </c>
      <c r="N35">
        <f t="shared" si="1"/>
        <v>0.12647058823529411</v>
      </c>
      <c r="O35">
        <f t="shared" si="2"/>
        <v>0.12383900928792571</v>
      </c>
      <c r="P35">
        <f t="shared" si="3"/>
        <v>0.12383900928792571</v>
      </c>
      <c r="Q35">
        <f t="shared" si="4"/>
        <v>0.12647058823529411</v>
      </c>
      <c r="R35">
        <f t="shared" si="5"/>
        <v>0.12383900928792571</v>
      </c>
      <c r="S35">
        <f t="shared" si="6"/>
        <v>6.5359477124182996E-2</v>
      </c>
      <c r="T35">
        <f t="shared" si="7"/>
        <v>0.12383900928792571</v>
      </c>
    </row>
    <row r="36" spans="1:29" x14ac:dyDescent="0.25">
      <c r="A36">
        <v>15</v>
      </c>
      <c r="B36">
        <v>0.34782608695652167</v>
      </c>
      <c r="C36">
        <v>0.25</v>
      </c>
      <c r="D36">
        <v>0.32</v>
      </c>
      <c r="E36">
        <v>0.25</v>
      </c>
      <c r="F36">
        <v>0.25</v>
      </c>
      <c r="G36">
        <v>0.32</v>
      </c>
      <c r="H36">
        <v>0.2</v>
      </c>
      <c r="I36">
        <v>0.25</v>
      </c>
      <c r="J36">
        <v>0.25</v>
      </c>
      <c r="M36">
        <f t="shared" si="0"/>
        <v>9.7826086956521674E-2</v>
      </c>
      <c r="N36">
        <f t="shared" si="1"/>
        <v>2.7826086956521667E-2</v>
      </c>
      <c r="O36">
        <f t="shared" si="2"/>
        <v>9.7826086956521674E-2</v>
      </c>
      <c r="P36">
        <f t="shared" si="3"/>
        <v>9.7826086956521674E-2</v>
      </c>
      <c r="Q36">
        <f t="shared" si="4"/>
        <v>2.7826086956521667E-2</v>
      </c>
      <c r="R36">
        <f t="shared" si="5"/>
        <v>0.14782608695652166</v>
      </c>
      <c r="S36">
        <f t="shared" si="6"/>
        <v>9.7826086956521674E-2</v>
      </c>
      <c r="T36">
        <f t="shared" si="7"/>
        <v>9.7826086956521674E-2</v>
      </c>
    </row>
    <row r="37" spans="1:29" x14ac:dyDescent="0.25">
      <c r="A37">
        <v>20</v>
      </c>
      <c r="B37">
        <v>0.36666666666666659</v>
      </c>
      <c r="C37">
        <v>0.33333333333333331</v>
      </c>
      <c r="D37">
        <v>0.375</v>
      </c>
      <c r="E37">
        <v>0.33333333333333331</v>
      </c>
      <c r="F37">
        <v>0.37931034482758619</v>
      </c>
      <c r="G37">
        <v>0.375</v>
      </c>
      <c r="H37">
        <v>0.37931034482758619</v>
      </c>
      <c r="I37">
        <v>0.37931034482758619</v>
      </c>
      <c r="J37">
        <v>0.33333333333333331</v>
      </c>
      <c r="M37">
        <f t="shared" si="0"/>
        <v>3.333333333333327E-2</v>
      </c>
      <c r="N37">
        <f t="shared" si="1"/>
        <v>-8.3333333333334147E-3</v>
      </c>
      <c r="O37">
        <f t="shared" si="2"/>
        <v>3.333333333333327E-2</v>
      </c>
      <c r="P37">
        <f t="shared" si="3"/>
        <v>-1.2643678160919603E-2</v>
      </c>
      <c r="Q37">
        <f t="shared" si="4"/>
        <v>-8.3333333333334147E-3</v>
      </c>
      <c r="R37">
        <f t="shared" si="5"/>
        <v>-1.2643678160919603E-2</v>
      </c>
      <c r="S37">
        <f t="shared" si="6"/>
        <v>-1.2643678160919603E-2</v>
      </c>
      <c r="T37">
        <f t="shared" si="7"/>
        <v>3.333333333333327E-2</v>
      </c>
    </row>
    <row r="38" spans="1:29" x14ac:dyDescent="0.25">
      <c r="A38">
        <v>25</v>
      </c>
      <c r="B38">
        <v>0.35897435897435898</v>
      </c>
      <c r="C38">
        <v>0.36842105263157893</v>
      </c>
      <c r="D38">
        <v>0.42499999999999999</v>
      </c>
      <c r="E38">
        <v>0.36842105263157893</v>
      </c>
      <c r="F38">
        <v>0.36842105263157893</v>
      </c>
      <c r="G38">
        <v>0.42499999999999999</v>
      </c>
      <c r="H38">
        <v>0.36842105263157893</v>
      </c>
      <c r="I38">
        <v>0.36842105263157893</v>
      </c>
      <c r="J38">
        <v>0.36842105263157893</v>
      </c>
      <c r="M38">
        <f t="shared" si="0"/>
        <v>-9.4466936572199511E-3</v>
      </c>
      <c r="N38">
        <f t="shared" si="1"/>
        <v>-6.6025641025641013E-2</v>
      </c>
      <c r="O38">
        <f t="shared" si="2"/>
        <v>-9.4466936572199511E-3</v>
      </c>
      <c r="P38">
        <f t="shared" si="3"/>
        <v>-9.4466936572199511E-3</v>
      </c>
      <c r="Q38">
        <f t="shared" si="4"/>
        <v>-6.6025641025641013E-2</v>
      </c>
      <c r="R38">
        <f t="shared" si="5"/>
        <v>-9.4466936572199511E-3</v>
      </c>
      <c r="S38">
        <f t="shared" si="6"/>
        <v>-9.4466936572199511E-3</v>
      </c>
      <c r="T38">
        <f t="shared" si="7"/>
        <v>-9.4466936572199511E-3</v>
      </c>
    </row>
    <row r="39" spans="1:29" x14ac:dyDescent="0.25">
      <c r="A39">
        <v>30</v>
      </c>
      <c r="B39">
        <v>0.43181818181818182</v>
      </c>
      <c r="C39">
        <v>0.40909090909090912</v>
      </c>
      <c r="D39">
        <v>0.51111111111111107</v>
      </c>
      <c r="E39">
        <v>0.40909090909090912</v>
      </c>
      <c r="F39">
        <v>0.40909090909090912</v>
      </c>
      <c r="G39">
        <v>0.51111111111111107</v>
      </c>
      <c r="H39">
        <v>0.40909090909090912</v>
      </c>
      <c r="I39">
        <v>0.40909090909090912</v>
      </c>
      <c r="J39">
        <v>0.40909090909090912</v>
      </c>
      <c r="M39">
        <f t="shared" si="0"/>
        <v>2.2727272727272707E-2</v>
      </c>
      <c r="N39">
        <f t="shared" si="1"/>
        <v>-7.9292929292929248E-2</v>
      </c>
      <c r="O39">
        <f t="shared" si="2"/>
        <v>2.2727272727272707E-2</v>
      </c>
      <c r="P39">
        <f t="shared" si="3"/>
        <v>2.2727272727272707E-2</v>
      </c>
      <c r="Q39">
        <f t="shared" si="4"/>
        <v>-7.9292929292929248E-2</v>
      </c>
      <c r="R39">
        <f t="shared" si="5"/>
        <v>2.2727272727272707E-2</v>
      </c>
      <c r="S39">
        <f t="shared" si="6"/>
        <v>2.2727272727272707E-2</v>
      </c>
      <c r="T39">
        <f t="shared" si="7"/>
        <v>2.2727272727272707E-2</v>
      </c>
    </row>
    <row r="40" spans="1:29" x14ac:dyDescent="0.25">
      <c r="A40">
        <v>35</v>
      </c>
      <c r="B40">
        <v>0.48979591836734693</v>
      </c>
      <c r="C40">
        <v>0.46938775510204078</v>
      </c>
      <c r="D40">
        <v>0.5</v>
      </c>
      <c r="E40">
        <v>0.46938775510204078</v>
      </c>
      <c r="F40">
        <v>0.46938775510204078</v>
      </c>
      <c r="G40">
        <v>0.5</v>
      </c>
      <c r="H40">
        <v>0.46938775510204078</v>
      </c>
      <c r="I40">
        <v>0.46938775510204078</v>
      </c>
      <c r="J40">
        <v>0.46938775510204078</v>
      </c>
      <c r="M40">
        <f t="shared" si="0"/>
        <v>2.0408163265306145E-2</v>
      </c>
      <c r="N40">
        <f t="shared" si="1"/>
        <v>-1.0204081632653073E-2</v>
      </c>
      <c r="O40">
        <f t="shared" si="2"/>
        <v>2.0408163265306145E-2</v>
      </c>
      <c r="P40">
        <f t="shared" si="3"/>
        <v>2.0408163265306145E-2</v>
      </c>
      <c r="Q40">
        <f t="shared" si="4"/>
        <v>-1.0204081632653073E-2</v>
      </c>
      <c r="R40">
        <f t="shared" si="5"/>
        <v>2.0408163265306145E-2</v>
      </c>
      <c r="S40">
        <f t="shared" si="6"/>
        <v>2.0408163265306145E-2</v>
      </c>
      <c r="T40">
        <f t="shared" si="7"/>
        <v>2.0408163265306145E-2</v>
      </c>
    </row>
    <row r="41" spans="1:29" x14ac:dyDescent="0.25">
      <c r="A41">
        <v>40</v>
      </c>
      <c r="B41">
        <v>0.50909090909090904</v>
      </c>
      <c r="C41">
        <v>0.4642857142857143</v>
      </c>
      <c r="D41">
        <v>0.50847457627118642</v>
      </c>
      <c r="E41">
        <v>0.4642857142857143</v>
      </c>
      <c r="F41">
        <v>0.4642857142857143</v>
      </c>
      <c r="G41">
        <v>0.50847457627118642</v>
      </c>
      <c r="H41">
        <v>0.49090909090909091</v>
      </c>
      <c r="I41">
        <v>0.51851851851851849</v>
      </c>
      <c r="J41">
        <v>0.4642857142857143</v>
      </c>
      <c r="M41">
        <f t="shared" si="0"/>
        <v>4.4805194805194737E-2</v>
      </c>
      <c r="N41">
        <f t="shared" si="1"/>
        <v>6.1633281972262033E-4</v>
      </c>
      <c r="O41">
        <f t="shared" si="2"/>
        <v>4.4805194805194737E-2</v>
      </c>
      <c r="P41">
        <f t="shared" si="3"/>
        <v>4.4805194805194737E-2</v>
      </c>
      <c r="Q41">
        <f t="shared" si="4"/>
        <v>6.1633281972262033E-4</v>
      </c>
      <c r="R41">
        <f t="shared" si="5"/>
        <v>1.8181818181818132E-2</v>
      </c>
      <c r="S41">
        <f t="shared" si="6"/>
        <v>-9.4276094276094513E-3</v>
      </c>
      <c r="T41">
        <f t="shared" si="7"/>
        <v>4.4805194805194737E-2</v>
      </c>
    </row>
    <row r="42" spans="1:29" s="10" customFormat="1" x14ac:dyDescent="0.25">
      <c r="A42" s="10" t="s">
        <v>59</v>
      </c>
      <c r="B42" s="10">
        <f>AVERAGE(B35:B41)</f>
        <v>0.38294895858703992</v>
      </c>
      <c r="C42" s="10">
        <f t="shared" ref="C42:J42" si="32">AVERAGE(C35:C41)</f>
        <v>0.33530719191299213</v>
      </c>
      <c r="D42" s="10">
        <f t="shared" si="32"/>
        <v>0.38422652676889962</v>
      </c>
      <c r="E42" s="10">
        <f t="shared" si="32"/>
        <v>0.33530719191299213</v>
      </c>
      <c r="F42" s="10">
        <f t="shared" si="32"/>
        <v>0.3418753364121711</v>
      </c>
      <c r="G42" s="10">
        <f t="shared" si="32"/>
        <v>0.38422652676889962</v>
      </c>
      <c r="H42" s="10">
        <f t="shared" si="32"/>
        <v>0.33853581878693922</v>
      </c>
      <c r="I42" s="10">
        <f t="shared" si="32"/>
        <v>0.35797709875453493</v>
      </c>
      <c r="J42" s="10">
        <f t="shared" si="32"/>
        <v>0.33530719191299213</v>
      </c>
      <c r="M42" s="10">
        <f t="shared" si="0"/>
        <v>4.7641766674047792E-2</v>
      </c>
      <c r="N42" s="10">
        <f t="shared" si="1"/>
        <v>-1.2775681818597007E-3</v>
      </c>
      <c r="O42" s="10">
        <f t="shared" si="2"/>
        <v>4.7641766674047792E-2</v>
      </c>
      <c r="P42" s="10">
        <f t="shared" si="3"/>
        <v>4.1073622174868818E-2</v>
      </c>
      <c r="Q42" s="10">
        <f t="shared" si="4"/>
        <v>-1.2775681818597007E-3</v>
      </c>
      <c r="R42" s="10">
        <f t="shared" si="5"/>
        <v>4.4413139800100698E-2</v>
      </c>
      <c r="S42" s="10">
        <f t="shared" si="6"/>
        <v>2.4971859832504995E-2</v>
      </c>
      <c r="T42" s="10">
        <f t="shared" si="7"/>
        <v>4.7641766674047792E-2</v>
      </c>
      <c r="V42" s="10">
        <f>M42/C42</f>
        <v>0.14208393921479087</v>
      </c>
      <c r="W42" s="10">
        <f t="shared" ref="W42" si="33">N42/D42</f>
        <v>-3.325038988336478E-3</v>
      </c>
      <c r="X42" s="10">
        <f t="shared" ref="X42" si="34">O42/E42</f>
        <v>0.14208393921479087</v>
      </c>
      <c r="Y42" s="10">
        <f t="shared" ref="Y42" si="35">P42/F42</f>
        <v>0.12014210386136108</v>
      </c>
      <c r="Z42" s="10">
        <f t="shared" ref="Z42" si="36">Q42/G42</f>
        <v>-3.325038988336478E-3</v>
      </c>
      <c r="AA42" s="10">
        <f t="shared" ref="AA42" si="37">R42/H42</f>
        <v>0.13119184835224934</v>
      </c>
      <c r="AB42" s="10">
        <f>S42/I42</f>
        <v>6.9758260847932657E-2</v>
      </c>
      <c r="AC42" s="10">
        <f t="shared" ref="AC42" si="38">T42/J42</f>
        <v>0.14208393921479087</v>
      </c>
    </row>
    <row r="43" spans="1:29" x14ac:dyDescent="0.25">
      <c r="A43">
        <v>10</v>
      </c>
      <c r="B43">
        <v>0.75</v>
      </c>
      <c r="C43">
        <v>0.375</v>
      </c>
      <c r="D43">
        <v>0.34375</v>
      </c>
      <c r="E43">
        <v>0.33333333333333298</v>
      </c>
      <c r="F43">
        <v>0.4375</v>
      </c>
      <c r="G43">
        <v>0.33333333333333298</v>
      </c>
      <c r="H43">
        <v>0.375</v>
      </c>
      <c r="I43">
        <v>0.69230769230769229</v>
      </c>
      <c r="J43">
        <v>0.375</v>
      </c>
      <c r="M43">
        <f t="shared" si="0"/>
        <v>0.375</v>
      </c>
      <c r="N43">
        <f t="shared" si="1"/>
        <v>0.40625</v>
      </c>
      <c r="O43">
        <f t="shared" si="2"/>
        <v>0.41666666666666702</v>
      </c>
      <c r="P43">
        <f t="shared" si="3"/>
        <v>0.3125</v>
      </c>
      <c r="Q43">
        <f t="shared" si="4"/>
        <v>0.41666666666666702</v>
      </c>
      <c r="R43">
        <f t="shared" si="5"/>
        <v>0.375</v>
      </c>
      <c r="S43">
        <f t="shared" si="6"/>
        <v>5.7692307692307709E-2</v>
      </c>
      <c r="T43">
        <f t="shared" si="7"/>
        <v>0.375</v>
      </c>
    </row>
    <row r="44" spans="1:29" x14ac:dyDescent="0.25">
      <c r="A44">
        <v>15</v>
      </c>
      <c r="B44">
        <v>0.83333333333333337</v>
      </c>
      <c r="C44">
        <v>0.52173913043478259</v>
      </c>
      <c r="D44">
        <v>0.5625</v>
      </c>
      <c r="E44">
        <v>0.65217391304347805</v>
      </c>
      <c r="F44">
        <v>0.48</v>
      </c>
      <c r="G44">
        <v>0.54166666666666596</v>
      </c>
      <c r="H44">
        <v>0.63636363636363602</v>
      </c>
      <c r="I44">
        <v>0.66666666666666663</v>
      </c>
      <c r="J44">
        <v>0.52173913043478259</v>
      </c>
      <c r="M44">
        <f t="shared" si="0"/>
        <v>0.31159420289855078</v>
      </c>
      <c r="N44">
        <f t="shared" si="1"/>
        <v>0.27083333333333337</v>
      </c>
      <c r="O44">
        <f t="shared" si="2"/>
        <v>0.18115942028985532</v>
      </c>
      <c r="P44">
        <f t="shared" si="3"/>
        <v>0.35333333333333339</v>
      </c>
      <c r="Q44">
        <f t="shared" si="4"/>
        <v>0.29166666666666741</v>
      </c>
      <c r="R44">
        <f t="shared" si="5"/>
        <v>0.19696969696969735</v>
      </c>
      <c r="S44">
        <f t="shared" si="6"/>
        <v>0.16666666666666674</v>
      </c>
      <c r="T44">
        <f t="shared" si="7"/>
        <v>0.31159420289855078</v>
      </c>
    </row>
    <row r="45" spans="1:29" x14ac:dyDescent="0.25">
      <c r="A45">
        <v>20</v>
      </c>
      <c r="B45">
        <v>0.86956521739130432</v>
      </c>
      <c r="C45">
        <v>0.6428571428571429</v>
      </c>
      <c r="D45">
        <v>0.71875</v>
      </c>
      <c r="E45">
        <v>0.78571428571428503</v>
      </c>
      <c r="F45">
        <v>0.61290322580645096</v>
      </c>
      <c r="G45">
        <v>0.71428571428571397</v>
      </c>
      <c r="H45">
        <v>0.67857142857142805</v>
      </c>
      <c r="I45">
        <v>0.76923076923076927</v>
      </c>
      <c r="J45">
        <v>0.7142857142857143</v>
      </c>
      <c r="M45">
        <f t="shared" si="0"/>
        <v>0.22670807453416142</v>
      </c>
      <c r="N45">
        <f t="shared" si="1"/>
        <v>0.15081521739130432</v>
      </c>
      <c r="O45">
        <f t="shared" si="2"/>
        <v>8.3850931677019291E-2</v>
      </c>
      <c r="P45">
        <f t="shared" si="3"/>
        <v>0.25666199158485337</v>
      </c>
      <c r="Q45">
        <f t="shared" si="4"/>
        <v>0.15527950310559036</v>
      </c>
      <c r="R45">
        <f t="shared" si="5"/>
        <v>0.19099378881987628</v>
      </c>
      <c r="S45">
        <f t="shared" si="6"/>
        <v>0.10033444816053505</v>
      </c>
      <c r="T45">
        <f t="shared" si="7"/>
        <v>0.15527950310559002</v>
      </c>
    </row>
    <row r="46" spans="1:29" x14ac:dyDescent="0.25">
      <c r="A46">
        <v>25</v>
      </c>
      <c r="B46">
        <v>0.8928571428571429</v>
      </c>
      <c r="C46">
        <v>0.875</v>
      </c>
      <c r="D46">
        <v>0.875</v>
      </c>
      <c r="E46">
        <v>0.875</v>
      </c>
      <c r="F46">
        <v>0.875</v>
      </c>
      <c r="G46">
        <v>0.875</v>
      </c>
      <c r="H46">
        <v>0.875</v>
      </c>
      <c r="I46">
        <v>0.875</v>
      </c>
      <c r="J46">
        <v>0.875</v>
      </c>
      <c r="M46">
        <f t="shared" si="0"/>
        <v>1.7857142857142905E-2</v>
      </c>
      <c r="N46">
        <f t="shared" si="1"/>
        <v>1.7857142857142905E-2</v>
      </c>
      <c r="O46">
        <f t="shared" si="2"/>
        <v>1.7857142857142905E-2</v>
      </c>
      <c r="P46">
        <f t="shared" si="3"/>
        <v>1.7857142857142905E-2</v>
      </c>
      <c r="Q46">
        <f t="shared" si="4"/>
        <v>1.7857142857142905E-2</v>
      </c>
      <c r="R46">
        <f t="shared" si="5"/>
        <v>1.7857142857142905E-2</v>
      </c>
      <c r="S46">
        <f t="shared" si="6"/>
        <v>1.7857142857142905E-2</v>
      </c>
      <c r="T46">
        <f t="shared" si="7"/>
        <v>1.7857142857142905E-2</v>
      </c>
    </row>
    <row r="47" spans="1:29" x14ac:dyDescent="0.25">
      <c r="A47">
        <v>30</v>
      </c>
      <c r="B47">
        <v>0.9375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M47">
        <f t="shared" si="0"/>
        <v>-6.25E-2</v>
      </c>
      <c r="N47">
        <f t="shared" si="1"/>
        <v>-6.25E-2</v>
      </c>
      <c r="O47">
        <f t="shared" si="2"/>
        <v>-6.25E-2</v>
      </c>
      <c r="P47">
        <f t="shared" si="3"/>
        <v>-6.25E-2</v>
      </c>
      <c r="Q47">
        <f t="shared" si="4"/>
        <v>-6.25E-2</v>
      </c>
      <c r="R47">
        <f t="shared" si="5"/>
        <v>-6.25E-2</v>
      </c>
      <c r="S47">
        <f t="shared" si="6"/>
        <v>-6.25E-2</v>
      </c>
      <c r="T47">
        <f t="shared" si="7"/>
        <v>-6.25E-2</v>
      </c>
    </row>
    <row r="48" spans="1:29" x14ac:dyDescent="0.25">
      <c r="A48">
        <v>35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M48">
        <f t="shared" si="0"/>
        <v>0</v>
      </c>
      <c r="N48">
        <f t="shared" si="1"/>
        <v>0</v>
      </c>
      <c r="O48">
        <f t="shared" si="2"/>
        <v>0</v>
      </c>
      <c r="P48">
        <f t="shared" si="3"/>
        <v>0</v>
      </c>
      <c r="Q48">
        <f t="shared" si="4"/>
        <v>0</v>
      </c>
      <c r="R48">
        <f t="shared" si="5"/>
        <v>0</v>
      </c>
      <c r="S48">
        <f t="shared" si="6"/>
        <v>0</v>
      </c>
      <c r="T48">
        <f t="shared" si="7"/>
        <v>0</v>
      </c>
    </row>
    <row r="49" spans="1:29" x14ac:dyDescent="0.25">
      <c r="A49">
        <v>40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M49">
        <f t="shared" si="0"/>
        <v>0</v>
      </c>
      <c r="N49">
        <f t="shared" si="1"/>
        <v>0</v>
      </c>
      <c r="O49">
        <f t="shared" si="2"/>
        <v>0</v>
      </c>
      <c r="P49">
        <f t="shared" si="3"/>
        <v>0</v>
      </c>
      <c r="Q49">
        <f t="shared" si="4"/>
        <v>0</v>
      </c>
      <c r="R49">
        <f t="shared" si="5"/>
        <v>0</v>
      </c>
      <c r="S49">
        <f t="shared" si="6"/>
        <v>0</v>
      </c>
      <c r="T49">
        <f t="shared" si="7"/>
        <v>0</v>
      </c>
    </row>
    <row r="50" spans="1:29" s="10" customFormat="1" x14ac:dyDescent="0.25">
      <c r="A50" s="10" t="s">
        <v>60</v>
      </c>
      <c r="B50" s="10">
        <f>AVERAGE(B43:B49)</f>
        <v>0.89760795622596867</v>
      </c>
      <c r="C50" s="10">
        <f t="shared" ref="C50:J50" si="39">AVERAGE(C43:C49)</f>
        <v>0.7735137533274179</v>
      </c>
      <c r="D50" s="10">
        <f t="shared" si="39"/>
        <v>0.7857142857142857</v>
      </c>
      <c r="E50" s="10">
        <f t="shared" si="39"/>
        <v>0.80660307601301373</v>
      </c>
      <c r="F50" s="10">
        <f t="shared" si="39"/>
        <v>0.7722004608294929</v>
      </c>
      <c r="G50" s="10">
        <f t="shared" si="39"/>
        <v>0.780612244897959</v>
      </c>
      <c r="H50" s="10">
        <f t="shared" si="39"/>
        <v>0.79499072356215195</v>
      </c>
      <c r="I50" s="10">
        <f t="shared" si="39"/>
        <v>0.85760073260073255</v>
      </c>
      <c r="J50" s="10">
        <f t="shared" si="39"/>
        <v>0.78371783496007097</v>
      </c>
      <c r="M50" s="10">
        <f t="shared" si="0"/>
        <v>0.12409420289855078</v>
      </c>
      <c r="N50" s="10">
        <f t="shared" si="1"/>
        <v>0.11189367051168297</v>
      </c>
      <c r="O50" s="10">
        <f t="shared" si="2"/>
        <v>9.1004880212954942E-2</v>
      </c>
      <c r="P50" s="10">
        <f t="shared" si="3"/>
        <v>0.12540749539647578</v>
      </c>
      <c r="Q50" s="10">
        <f t="shared" si="4"/>
        <v>0.11699571132800968</v>
      </c>
      <c r="R50" s="10">
        <f t="shared" si="5"/>
        <v>0.10261723266381673</v>
      </c>
      <c r="S50" s="10">
        <f t="shared" si="6"/>
        <v>4.0007223625236121E-2</v>
      </c>
      <c r="T50" s="10">
        <f t="shared" si="7"/>
        <v>0.1138901212658977</v>
      </c>
      <c r="V50" s="10">
        <f>M50/C50</f>
        <v>0.16042921326833007</v>
      </c>
      <c r="W50" s="10">
        <f t="shared" ref="W50" si="40">N50/D50</f>
        <v>0.14241012610577833</v>
      </c>
      <c r="X50" s="10">
        <f t="shared" ref="X50" si="41">O50/E50</f>
        <v>0.11282486134665654</v>
      </c>
      <c r="Y50" s="10">
        <f t="shared" ref="Y50" si="42">P50/F50</f>
        <v>0.1624027720234249</v>
      </c>
      <c r="Z50" s="10">
        <f t="shared" ref="Z50" si="43">Q50/G50</f>
        <v>0.14987685895614314</v>
      </c>
      <c r="AA50" s="10">
        <f t="shared" ref="AA50" si="44">R50/H50</f>
        <v>0.12907978624456762</v>
      </c>
      <c r="AB50" s="10">
        <f>S50/I50</f>
        <v>4.6650174264557233E-2</v>
      </c>
      <c r="AC50" s="10">
        <f t="shared" ref="AC50" si="45">T50/J50</f>
        <v>0.1453203132370979</v>
      </c>
    </row>
    <row r="51" spans="1:29" x14ac:dyDescent="0.25">
      <c r="A51">
        <v>10</v>
      </c>
      <c r="B51">
        <v>0.61538461538461542</v>
      </c>
      <c r="C51">
        <v>0.61538461538461542</v>
      </c>
      <c r="D51">
        <v>0.238095238095238</v>
      </c>
      <c r="E51">
        <v>0.5714285714285714</v>
      </c>
      <c r="F51">
        <v>0.42857142857142849</v>
      </c>
      <c r="G51">
        <v>0.33333333333333331</v>
      </c>
      <c r="H51">
        <v>0.33333333333333331</v>
      </c>
      <c r="I51">
        <v>0.66666666666666663</v>
      </c>
      <c r="J51">
        <v>0.61538461538461542</v>
      </c>
      <c r="M51">
        <f t="shared" si="0"/>
        <v>0</v>
      </c>
      <c r="N51">
        <f t="shared" si="1"/>
        <v>0.37728937728937739</v>
      </c>
      <c r="O51">
        <f t="shared" si="2"/>
        <v>4.3956043956044022E-2</v>
      </c>
      <c r="P51">
        <f t="shared" si="3"/>
        <v>0.18681318681318693</v>
      </c>
      <c r="Q51">
        <f t="shared" si="4"/>
        <v>0.2820512820512821</v>
      </c>
      <c r="R51">
        <f t="shared" si="5"/>
        <v>0.2820512820512821</v>
      </c>
      <c r="S51">
        <f t="shared" si="6"/>
        <v>-5.1282051282051211E-2</v>
      </c>
      <c r="T51">
        <f t="shared" si="7"/>
        <v>0</v>
      </c>
    </row>
    <row r="52" spans="1:29" x14ac:dyDescent="0.25">
      <c r="A52">
        <v>15</v>
      </c>
      <c r="B52">
        <v>0.68421052631578949</v>
      </c>
      <c r="C52">
        <v>0.4</v>
      </c>
      <c r="D52">
        <v>0.38095238095238088</v>
      </c>
      <c r="E52">
        <v>0.4</v>
      </c>
      <c r="F52">
        <v>0.25925925925925919</v>
      </c>
      <c r="G52">
        <v>0.44</v>
      </c>
      <c r="H52">
        <v>0.47619047619047611</v>
      </c>
      <c r="I52">
        <v>0.63157894736842102</v>
      </c>
      <c r="J52">
        <v>0.4</v>
      </c>
      <c r="M52">
        <f t="shared" si="0"/>
        <v>0.28421052631578947</v>
      </c>
      <c r="N52">
        <f t="shared" si="1"/>
        <v>0.30325814536340862</v>
      </c>
      <c r="O52">
        <f t="shared" si="2"/>
        <v>0.28421052631578947</v>
      </c>
      <c r="P52">
        <f t="shared" si="3"/>
        <v>0.4249512670565303</v>
      </c>
      <c r="Q52">
        <f t="shared" si="4"/>
        <v>0.24421052631578949</v>
      </c>
      <c r="R52">
        <f t="shared" si="5"/>
        <v>0.20802005012531338</v>
      </c>
      <c r="S52">
        <f t="shared" si="6"/>
        <v>5.2631578947368474E-2</v>
      </c>
      <c r="T52">
        <f t="shared" si="7"/>
        <v>0.28421052631578947</v>
      </c>
    </row>
    <row r="53" spans="1:29" x14ac:dyDescent="0.25">
      <c r="A53">
        <v>20</v>
      </c>
      <c r="B53">
        <v>0.61538461538461542</v>
      </c>
      <c r="C53">
        <v>0.45161290322580638</v>
      </c>
      <c r="D53">
        <v>0.5</v>
      </c>
      <c r="E53">
        <v>0.45161290322580638</v>
      </c>
      <c r="F53">
        <v>0.41935483870967738</v>
      </c>
      <c r="G53">
        <v>0.53333333333333333</v>
      </c>
      <c r="H53">
        <v>0.57692307692307687</v>
      </c>
      <c r="I53">
        <v>0.55555555555555558</v>
      </c>
      <c r="J53">
        <v>0.45161290322580638</v>
      </c>
      <c r="M53">
        <f t="shared" si="0"/>
        <v>0.16377171215880904</v>
      </c>
      <c r="N53">
        <f t="shared" si="1"/>
        <v>0.11538461538461542</v>
      </c>
      <c r="O53">
        <f t="shared" si="2"/>
        <v>0.16377171215880904</v>
      </c>
      <c r="P53">
        <f t="shared" si="3"/>
        <v>0.19602977667493804</v>
      </c>
      <c r="Q53">
        <f t="shared" si="4"/>
        <v>8.2051282051282093E-2</v>
      </c>
      <c r="R53">
        <f t="shared" si="5"/>
        <v>3.8461538461538547E-2</v>
      </c>
      <c r="S53">
        <f t="shared" si="6"/>
        <v>5.9829059829059839E-2</v>
      </c>
      <c r="T53">
        <f t="shared" si="7"/>
        <v>0.16377171215880904</v>
      </c>
    </row>
    <row r="54" spans="1:29" x14ac:dyDescent="0.25">
      <c r="A54">
        <v>25</v>
      </c>
      <c r="B54">
        <v>0.8571428571428571</v>
      </c>
      <c r="C54">
        <v>0.61764705882352944</v>
      </c>
      <c r="D54">
        <v>0.61904761904761907</v>
      </c>
      <c r="E54">
        <v>0.66666666666666663</v>
      </c>
      <c r="F54">
        <v>0.58823529411764708</v>
      </c>
      <c r="G54">
        <v>0.73529411764705888</v>
      </c>
      <c r="H54">
        <v>0.75862068965517238</v>
      </c>
      <c r="I54">
        <v>0.6875</v>
      </c>
      <c r="J54">
        <v>0.61764705882352944</v>
      </c>
      <c r="M54">
        <f t="shared" si="0"/>
        <v>0.23949579831932766</v>
      </c>
      <c r="N54">
        <f t="shared" si="1"/>
        <v>0.23809523809523803</v>
      </c>
      <c r="O54">
        <f t="shared" si="2"/>
        <v>0.19047619047619047</v>
      </c>
      <c r="P54">
        <f t="shared" si="3"/>
        <v>0.26890756302521002</v>
      </c>
      <c r="Q54">
        <f t="shared" si="4"/>
        <v>0.12184873949579822</v>
      </c>
      <c r="R54">
        <f t="shared" si="5"/>
        <v>9.852216748768472E-2</v>
      </c>
      <c r="S54">
        <f t="shared" si="6"/>
        <v>0.1696428571428571</v>
      </c>
      <c r="T54">
        <f t="shared" si="7"/>
        <v>0.23949579831932766</v>
      </c>
    </row>
    <row r="55" spans="1:29" x14ac:dyDescent="0.25">
      <c r="A55">
        <v>30</v>
      </c>
      <c r="B55">
        <v>1</v>
      </c>
      <c r="C55">
        <v>0.80555555555555558</v>
      </c>
      <c r="D55">
        <v>0.73809523809523814</v>
      </c>
      <c r="E55">
        <v>0.78378378378378377</v>
      </c>
      <c r="F55">
        <v>0.625</v>
      </c>
      <c r="G55">
        <v>0.79487179487179482</v>
      </c>
      <c r="H55">
        <v>0.75</v>
      </c>
      <c r="I55">
        <v>0.88235294117647056</v>
      </c>
      <c r="J55">
        <v>0.80555555555555558</v>
      </c>
      <c r="M55">
        <f t="shared" si="0"/>
        <v>0.19444444444444442</v>
      </c>
      <c r="N55">
        <f t="shared" si="1"/>
        <v>0.26190476190476186</v>
      </c>
      <c r="O55">
        <f t="shared" si="2"/>
        <v>0.21621621621621623</v>
      </c>
      <c r="P55">
        <f t="shared" si="3"/>
        <v>0.375</v>
      </c>
      <c r="Q55">
        <f t="shared" si="4"/>
        <v>0.20512820512820518</v>
      </c>
      <c r="R55">
        <f t="shared" si="5"/>
        <v>0.25</v>
      </c>
      <c r="S55">
        <f t="shared" si="6"/>
        <v>0.11764705882352944</v>
      </c>
      <c r="T55">
        <f t="shared" si="7"/>
        <v>0.19444444444444442</v>
      </c>
    </row>
    <row r="56" spans="1:29" x14ac:dyDescent="0.25">
      <c r="A56">
        <v>35</v>
      </c>
      <c r="B56">
        <v>1</v>
      </c>
      <c r="C56">
        <v>0.9</v>
      </c>
      <c r="D56">
        <v>0.8571428571428571</v>
      </c>
      <c r="E56">
        <v>0.85365853658536583</v>
      </c>
      <c r="F56">
        <v>0.82926829268292679</v>
      </c>
      <c r="G56">
        <v>0.8571428571428571</v>
      </c>
      <c r="H56">
        <v>0.92307692307692324</v>
      </c>
      <c r="I56">
        <v>0.92307692307692324</v>
      </c>
      <c r="J56">
        <v>0.9</v>
      </c>
      <c r="M56">
        <f t="shared" si="0"/>
        <v>9.9999999999999978E-2</v>
      </c>
      <c r="N56">
        <f t="shared" si="1"/>
        <v>0.1428571428571429</v>
      </c>
      <c r="O56">
        <f t="shared" si="2"/>
        <v>0.14634146341463417</v>
      </c>
      <c r="P56">
        <f t="shared" si="3"/>
        <v>0.17073170731707321</v>
      </c>
      <c r="Q56">
        <f t="shared" si="4"/>
        <v>0.1428571428571429</v>
      </c>
      <c r="R56">
        <f t="shared" si="5"/>
        <v>7.6923076923076761E-2</v>
      </c>
      <c r="S56">
        <f t="shared" si="6"/>
        <v>7.6923076923076761E-2</v>
      </c>
      <c r="T56">
        <f t="shared" si="7"/>
        <v>9.9999999999999978E-2</v>
      </c>
    </row>
    <row r="57" spans="1:29" x14ac:dyDescent="0.25">
      <c r="A57">
        <v>40</v>
      </c>
      <c r="B57">
        <v>1</v>
      </c>
      <c r="C57">
        <v>0.97619047619047616</v>
      </c>
      <c r="D57">
        <v>0.97619047619047616</v>
      </c>
      <c r="E57">
        <v>0.97619047619047616</v>
      </c>
      <c r="F57">
        <v>0.97619047619047616</v>
      </c>
      <c r="G57">
        <v>0.97619047619047616</v>
      </c>
      <c r="H57">
        <v>0.97619047619047616</v>
      </c>
      <c r="I57">
        <v>0.97619047619047616</v>
      </c>
      <c r="J57">
        <v>0.97619047619047616</v>
      </c>
      <c r="M57">
        <f t="shared" si="0"/>
        <v>2.3809523809523836E-2</v>
      </c>
      <c r="N57">
        <f t="shared" si="1"/>
        <v>2.3809523809523836E-2</v>
      </c>
      <c r="O57">
        <f t="shared" si="2"/>
        <v>2.3809523809523836E-2</v>
      </c>
      <c r="P57">
        <f t="shared" si="3"/>
        <v>2.3809523809523836E-2</v>
      </c>
      <c r="Q57">
        <f t="shared" si="4"/>
        <v>2.3809523809523836E-2</v>
      </c>
      <c r="R57">
        <f t="shared" si="5"/>
        <v>2.3809523809523836E-2</v>
      </c>
      <c r="S57">
        <f t="shared" si="6"/>
        <v>2.3809523809523836E-2</v>
      </c>
      <c r="T57">
        <f t="shared" si="7"/>
        <v>2.3809523809523836E-2</v>
      </c>
    </row>
    <row r="58" spans="1:29" s="10" customFormat="1" x14ac:dyDescent="0.25">
      <c r="A58" s="10" t="s">
        <v>61</v>
      </c>
      <c r="B58" s="10">
        <f>AVERAGE(B51:B57)</f>
        <v>0.8245889448896967</v>
      </c>
      <c r="C58" s="10">
        <f t="shared" ref="C58:J58" si="46">AVERAGE(C51:C57)</f>
        <v>0.68091294416856896</v>
      </c>
      <c r="D58" s="10">
        <f t="shared" si="46"/>
        <v>0.61564625850340138</v>
      </c>
      <c r="E58" s="10">
        <f t="shared" si="46"/>
        <v>0.67190584826866717</v>
      </c>
      <c r="F58" s="10">
        <f t="shared" si="46"/>
        <v>0.58941136993305931</v>
      </c>
      <c r="G58" s="10">
        <f t="shared" si="46"/>
        <v>0.66716655893126475</v>
      </c>
      <c r="H58" s="10">
        <f t="shared" si="46"/>
        <v>0.68490499648135117</v>
      </c>
      <c r="I58" s="10">
        <f t="shared" si="46"/>
        <v>0.76041735857635906</v>
      </c>
      <c r="J58" s="10">
        <f t="shared" si="46"/>
        <v>0.68091294416856896</v>
      </c>
      <c r="M58" s="10">
        <f t="shared" si="0"/>
        <v>0.14367600072112774</v>
      </c>
      <c r="N58" s="10">
        <f t="shared" si="1"/>
        <v>0.20894268638629532</v>
      </c>
      <c r="O58" s="10">
        <f t="shared" si="2"/>
        <v>0.15268309662102952</v>
      </c>
      <c r="P58" s="10">
        <f t="shared" si="3"/>
        <v>0.23517757495663738</v>
      </c>
      <c r="Q58" s="10">
        <f t="shared" si="4"/>
        <v>0.15742238595843194</v>
      </c>
      <c r="R58" s="10">
        <f t="shared" si="5"/>
        <v>0.13968394840834553</v>
      </c>
      <c r="S58" s="10">
        <f t="shared" si="6"/>
        <v>6.4171586313337636E-2</v>
      </c>
      <c r="T58" s="10">
        <f t="shared" si="7"/>
        <v>0.14367600072112774</v>
      </c>
      <c r="V58" s="10">
        <f>M58/C58</f>
        <v>0.2110049485056622</v>
      </c>
      <c r="W58" s="10">
        <f t="shared" ref="W58" si="47">N58/D58</f>
        <v>0.33938756794238023</v>
      </c>
      <c r="X58" s="10">
        <f t="shared" ref="X58" si="48">O58/E58</f>
        <v>0.22723882671129528</v>
      </c>
      <c r="Y58" s="10">
        <f t="shared" ref="Y58" si="49">P58/F58</f>
        <v>0.39900413692960657</v>
      </c>
      <c r="Z58" s="10">
        <f t="shared" ref="Z58" si="50">Q58/G58</f>
        <v>0.2359566495817883</v>
      </c>
      <c r="AA58" s="10">
        <f t="shared" ref="AA58" si="51">R58/H58</f>
        <v>0.20394645845184586</v>
      </c>
      <c r="AB58" s="10">
        <f>S58/I58</f>
        <v>8.438995452902158E-2</v>
      </c>
      <c r="AC58" s="10">
        <f t="shared" ref="AC58" si="52">T58/J58</f>
        <v>0.2110049485056622</v>
      </c>
    </row>
    <row r="59" spans="1:29" x14ac:dyDescent="0.25">
      <c r="A59">
        <v>10</v>
      </c>
      <c r="B59">
        <v>0.42857142857142849</v>
      </c>
      <c r="C59">
        <v>0.33333333333333331</v>
      </c>
      <c r="D59">
        <v>0.08</v>
      </c>
      <c r="E59">
        <v>0.33333333333333331</v>
      </c>
      <c r="F59">
        <v>0.1764705882352941</v>
      </c>
      <c r="G59">
        <v>0.42857142857142849</v>
      </c>
      <c r="H59">
        <v>0.1111111111111111</v>
      </c>
      <c r="I59">
        <v>0.33333333333333331</v>
      </c>
      <c r="J59">
        <v>0.33333333333333331</v>
      </c>
      <c r="M59">
        <f t="shared" si="0"/>
        <v>9.5238095238095177E-2</v>
      </c>
      <c r="N59">
        <f t="shared" si="1"/>
        <v>0.34857142857142848</v>
      </c>
      <c r="O59">
        <f t="shared" si="2"/>
        <v>9.5238095238095177E-2</v>
      </c>
      <c r="P59">
        <f t="shared" si="3"/>
        <v>0.25210084033613439</v>
      </c>
      <c r="Q59">
        <f t="shared" si="4"/>
        <v>0</v>
      </c>
      <c r="R59">
        <f t="shared" si="5"/>
        <v>0.31746031746031739</v>
      </c>
      <c r="S59">
        <f t="shared" si="6"/>
        <v>9.5238095238095177E-2</v>
      </c>
      <c r="T59">
        <f t="shared" si="7"/>
        <v>9.5238095238095177E-2</v>
      </c>
    </row>
    <row r="60" spans="1:29" x14ac:dyDescent="0.25">
      <c r="A60">
        <v>15</v>
      </c>
      <c r="B60">
        <v>0.76470588235294112</v>
      </c>
      <c r="C60">
        <v>0.42857142857142849</v>
      </c>
      <c r="D60">
        <v>0.12</v>
      </c>
      <c r="E60">
        <v>0.30434782608695649</v>
      </c>
      <c r="F60">
        <v>0.25</v>
      </c>
      <c r="G60">
        <v>0.42857142857142849</v>
      </c>
      <c r="H60">
        <v>0.1538461538461538</v>
      </c>
      <c r="I60">
        <v>0.76470588235294112</v>
      </c>
      <c r="J60">
        <v>0.5</v>
      </c>
      <c r="M60">
        <f t="shared" si="0"/>
        <v>0.33613445378151263</v>
      </c>
      <c r="N60">
        <f t="shared" si="1"/>
        <v>0.64470588235294113</v>
      </c>
      <c r="O60">
        <f t="shared" si="2"/>
        <v>0.46035805626598464</v>
      </c>
      <c r="P60">
        <f t="shared" si="3"/>
        <v>0.51470588235294112</v>
      </c>
      <c r="Q60">
        <f t="shared" si="4"/>
        <v>0.33613445378151263</v>
      </c>
      <c r="R60">
        <f t="shared" si="5"/>
        <v>0.61085972850678738</v>
      </c>
      <c r="S60">
        <f t="shared" si="6"/>
        <v>0</v>
      </c>
      <c r="T60">
        <f t="shared" si="7"/>
        <v>0.26470588235294112</v>
      </c>
    </row>
    <row r="61" spans="1:29" x14ac:dyDescent="0.25">
      <c r="A61">
        <v>20</v>
      </c>
      <c r="B61">
        <v>0.73913043478260865</v>
      </c>
      <c r="C61">
        <v>0.42857142857142849</v>
      </c>
      <c r="D61">
        <v>0.16</v>
      </c>
      <c r="E61">
        <v>0.29032258064516131</v>
      </c>
      <c r="F61">
        <v>0.33333333333333331</v>
      </c>
      <c r="G61">
        <v>0.42857142857142849</v>
      </c>
      <c r="H61">
        <v>0.2121212121212121</v>
      </c>
      <c r="I61">
        <v>0.66666666666666663</v>
      </c>
      <c r="J61">
        <v>0.42857142857142849</v>
      </c>
      <c r="M61">
        <f t="shared" si="0"/>
        <v>0.31055900621118016</v>
      </c>
      <c r="N61">
        <f t="shared" si="1"/>
        <v>0.57913043478260862</v>
      </c>
      <c r="O61">
        <f t="shared" si="2"/>
        <v>0.44880785413744734</v>
      </c>
      <c r="P61">
        <f t="shared" si="3"/>
        <v>0.40579710144927533</v>
      </c>
      <c r="Q61">
        <f t="shared" si="4"/>
        <v>0.31055900621118016</v>
      </c>
      <c r="R61">
        <f t="shared" si="5"/>
        <v>0.52700922266139649</v>
      </c>
      <c r="S61">
        <f t="shared" si="6"/>
        <v>7.2463768115942018E-2</v>
      </c>
      <c r="T61">
        <f t="shared" si="7"/>
        <v>0.31055900621118016</v>
      </c>
    </row>
    <row r="62" spans="1:29" x14ac:dyDescent="0.25">
      <c r="A62">
        <v>25</v>
      </c>
      <c r="B62">
        <v>0.72413793103448276</v>
      </c>
      <c r="C62">
        <v>0.35135135135135132</v>
      </c>
      <c r="D62">
        <v>0.2</v>
      </c>
      <c r="E62">
        <v>0.25</v>
      </c>
      <c r="F62">
        <v>0.47058823529411759</v>
      </c>
      <c r="G62">
        <v>0.3888888888888889</v>
      </c>
      <c r="H62">
        <v>0.25</v>
      </c>
      <c r="I62">
        <v>0.66666666666666663</v>
      </c>
      <c r="J62">
        <v>0.3888888888888889</v>
      </c>
      <c r="M62">
        <f t="shared" si="0"/>
        <v>0.37278657968313145</v>
      </c>
      <c r="N62">
        <f t="shared" si="1"/>
        <v>0.5241379310344827</v>
      </c>
      <c r="O62">
        <f t="shared" si="2"/>
        <v>0.47413793103448276</v>
      </c>
      <c r="P62">
        <f t="shared" si="3"/>
        <v>0.25354969574036518</v>
      </c>
      <c r="Q62">
        <f t="shared" si="4"/>
        <v>0.33524904214559387</v>
      </c>
      <c r="R62">
        <f t="shared" si="5"/>
        <v>0.47413793103448276</v>
      </c>
      <c r="S62">
        <f t="shared" si="6"/>
        <v>5.7471264367816133E-2</v>
      </c>
      <c r="T62">
        <f t="shared" si="7"/>
        <v>0.33524904214559387</v>
      </c>
    </row>
    <row r="63" spans="1:29" x14ac:dyDescent="0.25">
      <c r="A63">
        <v>30</v>
      </c>
      <c r="B63">
        <v>0.875</v>
      </c>
      <c r="C63">
        <v>0.39534883720930231</v>
      </c>
      <c r="D63">
        <v>0.24</v>
      </c>
      <c r="E63">
        <v>0.27659574468085107</v>
      </c>
      <c r="F63">
        <v>0.53846153846153844</v>
      </c>
      <c r="G63">
        <v>0.36363636363636359</v>
      </c>
      <c r="H63">
        <v>0.30434782608695649</v>
      </c>
      <c r="I63">
        <v>0.6216216216216216</v>
      </c>
      <c r="J63">
        <v>0.39534883720930231</v>
      </c>
      <c r="M63">
        <f t="shared" si="0"/>
        <v>0.47965116279069769</v>
      </c>
      <c r="N63">
        <f t="shared" si="1"/>
        <v>0.63500000000000001</v>
      </c>
      <c r="O63">
        <f t="shared" si="2"/>
        <v>0.59840425531914887</v>
      </c>
      <c r="P63">
        <f t="shared" si="3"/>
        <v>0.33653846153846156</v>
      </c>
      <c r="Q63">
        <f t="shared" si="4"/>
        <v>0.51136363636363646</v>
      </c>
      <c r="R63">
        <f t="shared" si="5"/>
        <v>0.57065217391304346</v>
      </c>
      <c r="S63">
        <f t="shared" si="6"/>
        <v>0.2533783783783784</v>
      </c>
      <c r="T63">
        <f t="shared" si="7"/>
        <v>0.47965116279069769</v>
      </c>
    </row>
    <row r="64" spans="1:29" x14ac:dyDescent="0.25">
      <c r="A64">
        <v>35</v>
      </c>
      <c r="B64">
        <v>0.97222222222222221</v>
      </c>
      <c r="C64">
        <v>0.39215686274509798</v>
      </c>
      <c r="D64">
        <v>0.28799999999999998</v>
      </c>
      <c r="E64">
        <v>0.26785714285714279</v>
      </c>
      <c r="F64">
        <v>0.47916666666666669</v>
      </c>
      <c r="G64">
        <v>0.42</v>
      </c>
      <c r="H64">
        <v>0.29090909090909089</v>
      </c>
      <c r="I64">
        <v>0.61363636363636365</v>
      </c>
      <c r="J64">
        <v>0.39215686274509798</v>
      </c>
      <c r="M64">
        <f t="shared" si="0"/>
        <v>0.58006535947712423</v>
      </c>
      <c r="N64">
        <f t="shared" si="1"/>
        <v>0.68422222222222229</v>
      </c>
      <c r="O64">
        <f t="shared" si="2"/>
        <v>0.70436507936507942</v>
      </c>
      <c r="P64">
        <f t="shared" si="3"/>
        <v>0.49305555555555552</v>
      </c>
      <c r="Q64">
        <f t="shared" si="4"/>
        <v>0.55222222222222217</v>
      </c>
      <c r="R64">
        <f t="shared" si="5"/>
        <v>0.68131313131313131</v>
      </c>
      <c r="S64">
        <f t="shared" si="6"/>
        <v>0.35858585858585856</v>
      </c>
      <c r="T64">
        <f t="shared" si="7"/>
        <v>0.58006535947712423</v>
      </c>
    </row>
    <row r="65" spans="1:29" x14ac:dyDescent="0.25">
      <c r="A65">
        <v>40</v>
      </c>
      <c r="B65">
        <v>0.9285714285714286</v>
      </c>
      <c r="C65">
        <v>0.4464285714285714</v>
      </c>
      <c r="D65">
        <v>0.32800000000000001</v>
      </c>
      <c r="E65">
        <v>0.32786885245901631</v>
      </c>
      <c r="F65">
        <v>0.39655172413793099</v>
      </c>
      <c r="G65">
        <v>0.4464285714285714</v>
      </c>
      <c r="H65">
        <v>0.30645161290322581</v>
      </c>
      <c r="I65">
        <v>0.6875</v>
      </c>
      <c r="J65">
        <v>0.5</v>
      </c>
      <c r="M65">
        <f t="shared" si="0"/>
        <v>0.48214285714285721</v>
      </c>
      <c r="N65">
        <f t="shared" si="1"/>
        <v>0.60057142857142853</v>
      </c>
      <c r="O65">
        <f t="shared" si="2"/>
        <v>0.60070257611241229</v>
      </c>
      <c r="P65">
        <f t="shared" si="3"/>
        <v>0.53201970443349755</v>
      </c>
      <c r="Q65">
        <f t="shared" si="4"/>
        <v>0.48214285714285721</v>
      </c>
      <c r="R65">
        <f t="shared" si="5"/>
        <v>0.62211981566820285</v>
      </c>
      <c r="S65">
        <f t="shared" si="6"/>
        <v>0.2410714285714286</v>
      </c>
      <c r="T65">
        <f t="shared" si="7"/>
        <v>0.4285714285714286</v>
      </c>
    </row>
    <row r="66" spans="1:29" s="10" customFormat="1" x14ac:dyDescent="0.25">
      <c r="A66" s="10" t="s">
        <v>62</v>
      </c>
      <c r="B66" s="10">
        <f>AVERAGE(B59:B65)</f>
        <v>0.77604847536215882</v>
      </c>
      <c r="C66" s="10">
        <f t="shared" ref="C66:J66" si="53">AVERAGE(C59:C65)</f>
        <v>0.3965374018872162</v>
      </c>
      <c r="D66" s="10">
        <f t="shared" si="53"/>
        <v>0.20228571428571432</v>
      </c>
      <c r="E66" s="10">
        <f t="shared" si="53"/>
        <v>0.29290364000892305</v>
      </c>
      <c r="F66" s="10">
        <f t="shared" si="53"/>
        <v>0.37779601230412585</v>
      </c>
      <c r="G66" s="10">
        <f t="shared" si="53"/>
        <v>0.41495258709544419</v>
      </c>
      <c r="H66" s="10">
        <f t="shared" si="53"/>
        <v>0.2326838581396786</v>
      </c>
      <c r="I66" s="10">
        <f t="shared" si="53"/>
        <v>0.62201864775394178</v>
      </c>
      <c r="J66" s="10">
        <f t="shared" si="53"/>
        <v>0.41975705010686443</v>
      </c>
      <c r="M66" s="10">
        <f t="shared" si="0"/>
        <v>0.37951107347494262</v>
      </c>
      <c r="N66" s="10">
        <f t="shared" si="1"/>
        <v>0.57376276107644453</v>
      </c>
      <c r="O66" s="10">
        <f t="shared" si="2"/>
        <v>0.48314483535323577</v>
      </c>
      <c r="P66" s="10">
        <f t="shared" si="3"/>
        <v>0.39825246305803297</v>
      </c>
      <c r="Q66" s="10">
        <f t="shared" si="4"/>
        <v>0.36109588826671463</v>
      </c>
      <c r="R66" s="10">
        <f t="shared" si="5"/>
        <v>0.5433646172224802</v>
      </c>
      <c r="S66" s="10">
        <f t="shared" si="6"/>
        <v>0.15402982760821704</v>
      </c>
      <c r="T66" s="10">
        <f t="shared" si="7"/>
        <v>0.35629142525529439</v>
      </c>
      <c r="V66" s="10">
        <f>M66/C66</f>
        <v>0.95706249062196602</v>
      </c>
      <c r="W66" s="10">
        <f t="shared" ref="W66" si="54">N66/D66</f>
        <v>2.8363978301801631</v>
      </c>
      <c r="X66" s="10">
        <f t="shared" ref="X66" si="55">O66/E66</f>
        <v>1.649500959901069</v>
      </c>
      <c r="Y66" s="10">
        <f t="shared" ref="Y66" si="56">P66/F66</f>
        <v>1.0541468149151338</v>
      </c>
      <c r="Z66" s="10">
        <f t="shared" ref="Z66" si="57">Q66/G66</f>
        <v>0.87020999385565501</v>
      </c>
      <c r="AA66" s="10">
        <f t="shared" ref="AA66" si="58">R66/H66</f>
        <v>2.3352054653327174</v>
      </c>
      <c r="AB66" s="10">
        <f>S66/I66</f>
        <v>0.24762895479806929</v>
      </c>
      <c r="AC66" s="10">
        <f t="shared" ref="AC66" si="59">T66/J66</f>
        <v>0.84880390970106978</v>
      </c>
    </row>
    <row r="67" spans="1:29" x14ac:dyDescent="0.25">
      <c r="A67">
        <v>10</v>
      </c>
      <c r="B67">
        <v>0.81818181818181823</v>
      </c>
      <c r="C67">
        <v>0.33333333333333331</v>
      </c>
      <c r="D67">
        <v>0.5714285714285714</v>
      </c>
      <c r="E67">
        <v>5.2631578947368397E-2</v>
      </c>
      <c r="F67">
        <v>0.53846153846153844</v>
      </c>
      <c r="G67">
        <v>0.66666666666666663</v>
      </c>
      <c r="H67">
        <v>0.81818181818181823</v>
      </c>
      <c r="I67">
        <v>0.81818181818181823</v>
      </c>
      <c r="J67">
        <v>0.25</v>
      </c>
      <c r="M67">
        <f t="shared" si="0"/>
        <v>0.48484848484848492</v>
      </c>
      <c r="N67">
        <f t="shared" si="1"/>
        <v>0.24675324675324684</v>
      </c>
      <c r="O67">
        <f t="shared" si="2"/>
        <v>0.76555023923444987</v>
      </c>
      <c r="P67">
        <f t="shared" si="3"/>
        <v>0.2797202797202798</v>
      </c>
      <c r="Q67">
        <f t="shared" si="4"/>
        <v>0.1515151515151516</v>
      </c>
      <c r="R67">
        <f t="shared" si="5"/>
        <v>0</v>
      </c>
      <c r="S67">
        <f t="shared" si="6"/>
        <v>0</v>
      </c>
      <c r="T67">
        <f t="shared" si="7"/>
        <v>0.56818181818181823</v>
      </c>
    </row>
    <row r="68" spans="1:29" x14ac:dyDescent="0.25">
      <c r="A68">
        <v>15</v>
      </c>
      <c r="B68">
        <v>0.57894736842105265</v>
      </c>
      <c r="C68">
        <v>0.42857142857142849</v>
      </c>
      <c r="D68">
        <v>0.5</v>
      </c>
      <c r="E68">
        <v>7.1428571428571397E-2</v>
      </c>
      <c r="F68">
        <v>0.42857142857142849</v>
      </c>
      <c r="G68">
        <v>0.5</v>
      </c>
      <c r="H68">
        <v>0.57894736842105265</v>
      </c>
      <c r="I68">
        <v>0.57894736842105265</v>
      </c>
      <c r="J68">
        <v>0.30434782608695649</v>
      </c>
      <c r="M68">
        <f t="shared" ref="M68:M131" si="60">B68-C68</f>
        <v>0.15037593984962416</v>
      </c>
      <c r="N68">
        <f t="shared" ref="N68:N131" si="61">B68-D68</f>
        <v>7.8947368421052655E-2</v>
      </c>
      <c r="O68">
        <f t="shared" ref="O68:O131" si="62">B68-E68</f>
        <v>0.50751879699248126</v>
      </c>
      <c r="P68">
        <f t="shared" ref="P68:P131" si="63">B68-F68</f>
        <v>0.15037593984962416</v>
      </c>
      <c r="Q68">
        <f t="shared" ref="Q68:Q131" si="64">B68-G68</f>
        <v>7.8947368421052655E-2</v>
      </c>
      <c r="R68">
        <f t="shared" ref="R68:R131" si="65">B68-H68</f>
        <v>0</v>
      </c>
      <c r="S68">
        <f t="shared" ref="S68:S131" si="66">B68-I68</f>
        <v>0</v>
      </c>
      <c r="T68">
        <f t="shared" ref="T68:T131" si="67">B68-J68</f>
        <v>0.27459954233409617</v>
      </c>
    </row>
    <row r="69" spans="1:29" x14ac:dyDescent="0.25">
      <c r="A69">
        <v>20</v>
      </c>
      <c r="B69">
        <v>0.73913043478260865</v>
      </c>
      <c r="C69">
        <v>0.33333333333333331</v>
      </c>
      <c r="D69">
        <v>0.59375</v>
      </c>
      <c r="E69">
        <v>5.2631578947368397E-2</v>
      </c>
      <c r="F69">
        <v>0.37931034482758619</v>
      </c>
      <c r="G69">
        <v>0.4814814814814814</v>
      </c>
      <c r="H69">
        <v>0.73913043478260865</v>
      </c>
      <c r="I69">
        <v>0.73913043478260865</v>
      </c>
      <c r="J69">
        <v>0.25</v>
      </c>
      <c r="M69">
        <f t="shared" si="60"/>
        <v>0.40579710144927533</v>
      </c>
      <c r="N69">
        <f t="shared" si="61"/>
        <v>0.14538043478260865</v>
      </c>
      <c r="O69">
        <f t="shared" si="62"/>
        <v>0.68649885583524028</v>
      </c>
      <c r="P69">
        <f t="shared" si="63"/>
        <v>0.35982008995502246</v>
      </c>
      <c r="Q69">
        <f t="shared" si="64"/>
        <v>0.25764895330112725</v>
      </c>
      <c r="R69">
        <f t="shared" si="65"/>
        <v>0</v>
      </c>
      <c r="S69">
        <f t="shared" si="66"/>
        <v>0</v>
      </c>
      <c r="T69">
        <f t="shared" si="67"/>
        <v>0.48913043478260865</v>
      </c>
    </row>
    <row r="70" spans="1:29" x14ac:dyDescent="0.25">
      <c r="A70">
        <v>25</v>
      </c>
      <c r="B70">
        <v>0.7857142857142857</v>
      </c>
      <c r="C70">
        <v>0.3888888888888889</v>
      </c>
      <c r="D70">
        <v>0.54347826086956519</v>
      </c>
      <c r="E70">
        <v>0.1111111111111111</v>
      </c>
      <c r="F70">
        <v>0.47058823529411759</v>
      </c>
      <c r="G70">
        <v>0.61290322580645162</v>
      </c>
      <c r="H70">
        <v>0.72413793103448276</v>
      </c>
      <c r="I70">
        <v>0.72413793103448276</v>
      </c>
      <c r="J70">
        <v>0.28205128205128199</v>
      </c>
      <c r="M70">
        <f t="shared" si="60"/>
        <v>0.3968253968253968</v>
      </c>
      <c r="N70">
        <f t="shared" si="61"/>
        <v>0.24223602484472051</v>
      </c>
      <c r="O70">
        <f t="shared" si="62"/>
        <v>0.67460317460317465</v>
      </c>
      <c r="P70">
        <f t="shared" si="63"/>
        <v>0.31512605042016811</v>
      </c>
      <c r="Q70">
        <f t="shared" si="64"/>
        <v>0.17281105990783407</v>
      </c>
      <c r="R70">
        <f t="shared" si="65"/>
        <v>6.1576354679802936E-2</v>
      </c>
      <c r="S70">
        <f t="shared" si="66"/>
        <v>6.1576354679802936E-2</v>
      </c>
      <c r="T70">
        <f t="shared" si="67"/>
        <v>0.50366300366300365</v>
      </c>
    </row>
    <row r="71" spans="1:29" x14ac:dyDescent="0.25">
      <c r="A71">
        <v>30</v>
      </c>
      <c r="B71">
        <v>0.875</v>
      </c>
      <c r="C71">
        <v>0.42857142857142849</v>
      </c>
      <c r="D71">
        <v>0.32967032967032961</v>
      </c>
      <c r="E71">
        <v>0.13207547169811321</v>
      </c>
      <c r="F71">
        <v>0.57894736842105265</v>
      </c>
      <c r="G71">
        <v>0.6216216216216216</v>
      </c>
      <c r="H71">
        <v>0.81818181818181823</v>
      </c>
      <c r="I71">
        <v>0.76470588235294112</v>
      </c>
      <c r="J71">
        <v>0.27659574468085107</v>
      </c>
      <c r="M71">
        <f t="shared" si="60"/>
        <v>0.44642857142857151</v>
      </c>
      <c r="N71">
        <f t="shared" si="61"/>
        <v>0.54532967032967039</v>
      </c>
      <c r="O71">
        <f t="shared" si="62"/>
        <v>0.74292452830188682</v>
      </c>
      <c r="P71">
        <f t="shared" si="63"/>
        <v>0.29605263157894735</v>
      </c>
      <c r="Q71">
        <f t="shared" si="64"/>
        <v>0.2533783783783784</v>
      </c>
      <c r="R71">
        <f t="shared" si="65"/>
        <v>5.6818181818181768E-2</v>
      </c>
      <c r="S71">
        <f t="shared" si="66"/>
        <v>0.11029411764705888</v>
      </c>
      <c r="T71">
        <f t="shared" si="67"/>
        <v>0.59840425531914887</v>
      </c>
    </row>
    <row r="72" spans="1:29" x14ac:dyDescent="0.25">
      <c r="A72">
        <v>35</v>
      </c>
      <c r="B72">
        <v>0.79487179487179482</v>
      </c>
      <c r="C72">
        <v>0.4</v>
      </c>
      <c r="D72">
        <v>0.1741293532338308</v>
      </c>
      <c r="E72">
        <v>0.1290322580645161</v>
      </c>
      <c r="F72">
        <v>0.47916666666666669</v>
      </c>
      <c r="G72">
        <v>0.58695652173913049</v>
      </c>
      <c r="H72">
        <v>0.79487179487179482</v>
      </c>
      <c r="I72">
        <v>0.79487179487179482</v>
      </c>
      <c r="J72">
        <v>0.27272727272727271</v>
      </c>
      <c r="M72">
        <f t="shared" si="60"/>
        <v>0.3948717948717948</v>
      </c>
      <c r="N72">
        <f t="shared" si="61"/>
        <v>0.62074244163796399</v>
      </c>
      <c r="O72">
        <f t="shared" si="62"/>
        <v>0.6658395368072787</v>
      </c>
      <c r="P72">
        <f t="shared" si="63"/>
        <v>0.31570512820512814</v>
      </c>
      <c r="Q72">
        <f t="shared" si="64"/>
        <v>0.20791527313266434</v>
      </c>
      <c r="R72">
        <f t="shared" si="65"/>
        <v>0</v>
      </c>
      <c r="S72">
        <f t="shared" si="66"/>
        <v>0</v>
      </c>
      <c r="T72">
        <f t="shared" si="67"/>
        <v>0.52214452214452212</v>
      </c>
    </row>
    <row r="73" spans="1:29" x14ac:dyDescent="0.25">
      <c r="A73">
        <v>40</v>
      </c>
      <c r="B73">
        <v>0.77777777777777779</v>
      </c>
      <c r="C73">
        <v>0.37931034482758619</v>
      </c>
      <c r="D73">
        <v>8.0160320641282506E-2</v>
      </c>
      <c r="E73">
        <v>0.1095890410958904</v>
      </c>
      <c r="F73">
        <v>0.5</v>
      </c>
      <c r="G73">
        <v>0.56603773584905659</v>
      </c>
      <c r="H73">
        <v>0.77777777777777779</v>
      </c>
      <c r="I73">
        <v>0.73913043478260865</v>
      </c>
      <c r="J73">
        <v>0.2307692307692307</v>
      </c>
      <c r="M73">
        <f t="shared" si="60"/>
        <v>0.3984674329501916</v>
      </c>
      <c r="N73">
        <f t="shared" si="61"/>
        <v>0.69761745713649526</v>
      </c>
      <c r="O73">
        <f t="shared" si="62"/>
        <v>0.66818873668188739</v>
      </c>
      <c r="P73">
        <f t="shared" si="63"/>
        <v>0.27777777777777779</v>
      </c>
      <c r="Q73">
        <f t="shared" si="64"/>
        <v>0.2117400419287212</v>
      </c>
      <c r="R73">
        <f t="shared" si="65"/>
        <v>0</v>
      </c>
      <c r="S73">
        <f t="shared" si="66"/>
        <v>3.8647342995169143E-2</v>
      </c>
      <c r="T73">
        <f t="shared" si="67"/>
        <v>0.54700854700854706</v>
      </c>
    </row>
    <row r="74" spans="1:29" s="10" customFormat="1" x14ac:dyDescent="0.25">
      <c r="A74" s="10" t="s">
        <v>64</v>
      </c>
      <c r="B74" s="10">
        <f>AVERAGE(B67:B73)</f>
        <v>0.76708906853561964</v>
      </c>
      <c r="C74" s="10">
        <f t="shared" ref="C74:J74" si="68">AVERAGE(C67:C73)</f>
        <v>0.38457267964657127</v>
      </c>
      <c r="D74" s="10">
        <f t="shared" si="68"/>
        <v>0.39894526226336852</v>
      </c>
      <c r="E74" s="10">
        <f t="shared" si="68"/>
        <v>9.4071373041848427E-2</v>
      </c>
      <c r="F74" s="10">
        <f t="shared" si="68"/>
        <v>0.48214936889177001</v>
      </c>
      <c r="G74" s="10">
        <f t="shared" si="68"/>
        <v>0.57652389330920106</v>
      </c>
      <c r="H74" s="10">
        <f t="shared" si="68"/>
        <v>0.75017556332162194</v>
      </c>
      <c r="I74" s="10">
        <f t="shared" si="68"/>
        <v>0.73701509491818673</v>
      </c>
      <c r="J74" s="10">
        <f t="shared" si="68"/>
        <v>0.26664162233079897</v>
      </c>
      <c r="M74" s="10">
        <f t="shared" si="60"/>
        <v>0.38251638888904838</v>
      </c>
      <c r="N74" s="10">
        <f t="shared" si="61"/>
        <v>0.36814380627225113</v>
      </c>
      <c r="O74" s="10">
        <f t="shared" si="62"/>
        <v>0.67301769549377122</v>
      </c>
      <c r="P74" s="10">
        <f t="shared" si="63"/>
        <v>0.28493969964384963</v>
      </c>
      <c r="Q74" s="10">
        <f t="shared" si="64"/>
        <v>0.19056517522641858</v>
      </c>
      <c r="R74" s="10">
        <f t="shared" si="65"/>
        <v>1.6913505213997704E-2</v>
      </c>
      <c r="S74" s="10">
        <f t="shared" si="66"/>
        <v>3.0073973617432914E-2</v>
      </c>
      <c r="T74" s="10">
        <f t="shared" si="67"/>
        <v>0.50044744620482073</v>
      </c>
      <c r="V74" s="10">
        <f>M74/C74</f>
        <v>0.99465305034301277</v>
      </c>
      <c r="W74" s="10">
        <f t="shared" ref="W74" si="69">N74/D74</f>
        <v>0.92279277659203418</v>
      </c>
      <c r="X74" s="10">
        <f t="shared" ref="X74" si="70">O74/E74</f>
        <v>7.1543305229995289</v>
      </c>
      <c r="Y74" s="10">
        <f t="shared" ref="Y74" si="71">P74/F74</f>
        <v>0.59097806204494108</v>
      </c>
      <c r="Z74" s="10">
        <f t="shared" ref="Z74" si="72">Q74/G74</f>
        <v>0.33054167821664721</v>
      </c>
      <c r="AA74" s="10">
        <f t="shared" ref="AA74" si="73">R74/H74</f>
        <v>2.2546062603143468E-2</v>
      </c>
      <c r="AB74" s="10">
        <f>S74/I74</f>
        <v>4.080509859946805E-2</v>
      </c>
      <c r="AC74" s="10">
        <f t="shared" ref="AC74" si="74">T74/J74</f>
        <v>1.8768541903932736</v>
      </c>
    </row>
    <row r="75" spans="1:29" x14ac:dyDescent="0.25">
      <c r="A75">
        <v>10</v>
      </c>
      <c r="B75">
        <v>0.53846153846153844</v>
      </c>
      <c r="C75">
        <v>0.42857142857142849</v>
      </c>
      <c r="D75">
        <v>0.5</v>
      </c>
      <c r="E75">
        <v>0.33333333333333331</v>
      </c>
      <c r="F75">
        <v>0.53846153846153844</v>
      </c>
      <c r="G75">
        <v>0.4</v>
      </c>
      <c r="H75">
        <v>0.53846153846153844</v>
      </c>
      <c r="I75">
        <v>0.53846153846153844</v>
      </c>
      <c r="J75">
        <v>0.42857142857142849</v>
      </c>
      <c r="M75">
        <f t="shared" si="60"/>
        <v>0.10989010989010994</v>
      </c>
      <c r="N75">
        <f t="shared" si="61"/>
        <v>3.8461538461538436E-2</v>
      </c>
      <c r="O75">
        <f t="shared" si="62"/>
        <v>0.20512820512820512</v>
      </c>
      <c r="P75">
        <f t="shared" si="63"/>
        <v>0</v>
      </c>
      <c r="Q75">
        <f t="shared" si="64"/>
        <v>0.13846153846153841</v>
      </c>
      <c r="R75">
        <f t="shared" si="65"/>
        <v>0</v>
      </c>
      <c r="S75">
        <f t="shared" si="66"/>
        <v>0</v>
      </c>
      <c r="T75">
        <f t="shared" si="67"/>
        <v>0.10989010989010994</v>
      </c>
    </row>
    <row r="76" spans="1:29" x14ac:dyDescent="0.25">
      <c r="A76">
        <v>15</v>
      </c>
      <c r="B76">
        <v>0.66666666666666663</v>
      </c>
      <c r="C76">
        <v>0.5</v>
      </c>
      <c r="D76">
        <v>0.5714285714285714</v>
      </c>
      <c r="E76">
        <v>0.42857142857142849</v>
      </c>
      <c r="F76">
        <v>0.5</v>
      </c>
      <c r="G76">
        <v>0.6</v>
      </c>
      <c r="H76">
        <v>0.57894736842105265</v>
      </c>
      <c r="I76">
        <v>0.66666666666666663</v>
      </c>
      <c r="J76">
        <v>0.5</v>
      </c>
      <c r="M76">
        <f t="shared" si="60"/>
        <v>0.16666666666666663</v>
      </c>
      <c r="N76">
        <f t="shared" si="61"/>
        <v>9.5238095238095233E-2</v>
      </c>
      <c r="O76">
        <f t="shared" si="62"/>
        <v>0.23809523809523814</v>
      </c>
      <c r="P76">
        <f t="shared" si="63"/>
        <v>0.16666666666666663</v>
      </c>
      <c r="Q76">
        <f t="shared" si="64"/>
        <v>6.6666666666666652E-2</v>
      </c>
      <c r="R76">
        <f t="shared" si="65"/>
        <v>8.7719298245613975E-2</v>
      </c>
      <c r="S76">
        <f t="shared" si="66"/>
        <v>0</v>
      </c>
      <c r="T76">
        <f t="shared" si="67"/>
        <v>0.16666666666666663</v>
      </c>
    </row>
    <row r="77" spans="1:29" x14ac:dyDescent="0.25">
      <c r="A77">
        <v>20</v>
      </c>
      <c r="B77">
        <v>0.66666666666666663</v>
      </c>
      <c r="C77">
        <v>0.42857142857142849</v>
      </c>
      <c r="D77">
        <v>0.58620689655172409</v>
      </c>
      <c r="E77">
        <v>0.42857142857142849</v>
      </c>
      <c r="F77">
        <v>0.53846153846153844</v>
      </c>
      <c r="G77">
        <v>0.5714285714285714</v>
      </c>
      <c r="H77">
        <v>0.66666666666666663</v>
      </c>
      <c r="I77">
        <v>0.66666666666666663</v>
      </c>
      <c r="J77">
        <v>0.42857142857142849</v>
      </c>
      <c r="M77">
        <f t="shared" si="60"/>
        <v>0.23809523809523814</v>
      </c>
      <c r="N77">
        <f t="shared" si="61"/>
        <v>8.0459770114942541E-2</v>
      </c>
      <c r="O77">
        <f t="shared" si="62"/>
        <v>0.23809523809523814</v>
      </c>
      <c r="P77">
        <f t="shared" si="63"/>
        <v>0.12820512820512819</v>
      </c>
      <c r="Q77">
        <f t="shared" si="64"/>
        <v>9.5238095238095233E-2</v>
      </c>
      <c r="R77">
        <f t="shared" si="65"/>
        <v>0</v>
      </c>
      <c r="S77">
        <f t="shared" si="66"/>
        <v>0</v>
      </c>
      <c r="T77">
        <f t="shared" si="67"/>
        <v>0.23809523809523814</v>
      </c>
    </row>
    <row r="78" spans="1:29" x14ac:dyDescent="0.25">
      <c r="A78">
        <v>25</v>
      </c>
      <c r="B78">
        <v>0.7857142857142857</v>
      </c>
      <c r="C78">
        <v>0.51515151515151514</v>
      </c>
      <c r="D78">
        <v>0.72727272727272729</v>
      </c>
      <c r="E78">
        <v>0.42857142857142849</v>
      </c>
      <c r="F78">
        <v>0.5625</v>
      </c>
      <c r="G78">
        <v>0.58333333333333337</v>
      </c>
      <c r="H78">
        <v>0.7857142857142857</v>
      </c>
      <c r="I78">
        <v>0.7857142857142857</v>
      </c>
      <c r="J78">
        <v>0.51515151515151514</v>
      </c>
      <c r="M78">
        <f t="shared" si="60"/>
        <v>0.27056277056277056</v>
      </c>
      <c r="N78">
        <f t="shared" si="61"/>
        <v>5.8441558441558406E-2</v>
      </c>
      <c r="O78">
        <f t="shared" si="62"/>
        <v>0.35714285714285721</v>
      </c>
      <c r="P78">
        <f t="shared" si="63"/>
        <v>0.2232142857142857</v>
      </c>
      <c r="Q78">
        <f t="shared" si="64"/>
        <v>0.20238095238095233</v>
      </c>
      <c r="R78">
        <f t="shared" si="65"/>
        <v>0</v>
      </c>
      <c r="S78">
        <f t="shared" si="66"/>
        <v>0</v>
      </c>
      <c r="T78">
        <f t="shared" si="67"/>
        <v>0.27056277056277056</v>
      </c>
    </row>
    <row r="79" spans="1:29" x14ac:dyDescent="0.25">
      <c r="A79">
        <v>30</v>
      </c>
      <c r="B79">
        <v>0.76470588235294112</v>
      </c>
      <c r="C79">
        <v>0.57894736842105265</v>
      </c>
      <c r="D79">
        <v>0.72499999999999998</v>
      </c>
      <c r="E79">
        <v>0.46341463414634149</v>
      </c>
      <c r="F79">
        <v>0.6216216216216216</v>
      </c>
      <c r="G79">
        <v>0.65853658536585369</v>
      </c>
      <c r="H79">
        <v>0.81818181818181823</v>
      </c>
      <c r="I79">
        <v>0.7142857142857143</v>
      </c>
      <c r="J79">
        <v>0.6216216216216216</v>
      </c>
      <c r="M79">
        <f t="shared" si="60"/>
        <v>0.18575851393188847</v>
      </c>
      <c r="N79">
        <f t="shared" si="61"/>
        <v>3.9705882352941146E-2</v>
      </c>
      <c r="O79">
        <f t="shared" si="62"/>
        <v>0.30129124820659964</v>
      </c>
      <c r="P79">
        <f t="shared" si="63"/>
        <v>0.14308426073131952</v>
      </c>
      <c r="Q79">
        <f t="shared" si="64"/>
        <v>0.10616929698708744</v>
      </c>
      <c r="R79">
        <f t="shared" si="65"/>
        <v>-5.3475935828877108E-2</v>
      </c>
      <c r="S79">
        <f t="shared" si="66"/>
        <v>5.0420168067226823E-2</v>
      </c>
      <c r="T79">
        <f t="shared" si="67"/>
        <v>0.14308426073131952</v>
      </c>
    </row>
    <row r="80" spans="1:29" x14ac:dyDescent="0.25">
      <c r="A80">
        <v>35</v>
      </c>
      <c r="B80">
        <v>0.89189189189189189</v>
      </c>
      <c r="C80">
        <v>0.70731707317073167</v>
      </c>
      <c r="D80">
        <v>0.7142857142857143</v>
      </c>
      <c r="E80">
        <v>0.45833333333333331</v>
      </c>
      <c r="F80">
        <v>0.70731707317073167</v>
      </c>
      <c r="G80">
        <v>0.6875</v>
      </c>
      <c r="H80">
        <v>0.84210526315789469</v>
      </c>
      <c r="I80">
        <v>0.84210526315789469</v>
      </c>
      <c r="J80">
        <v>0.66666666666666663</v>
      </c>
      <c r="M80">
        <f t="shared" si="60"/>
        <v>0.18457481872116022</v>
      </c>
      <c r="N80">
        <f t="shared" si="61"/>
        <v>0.17760617760617758</v>
      </c>
      <c r="O80">
        <f t="shared" si="62"/>
        <v>0.43355855855855857</v>
      </c>
      <c r="P80">
        <f t="shared" si="63"/>
        <v>0.18457481872116022</v>
      </c>
      <c r="Q80">
        <f t="shared" si="64"/>
        <v>0.20439189189189189</v>
      </c>
      <c r="R80">
        <f t="shared" si="65"/>
        <v>4.9786628733997196E-2</v>
      </c>
      <c r="S80">
        <f t="shared" si="66"/>
        <v>4.9786628733997196E-2</v>
      </c>
      <c r="T80">
        <f t="shared" si="67"/>
        <v>0.22522522522522526</v>
      </c>
    </row>
    <row r="81" spans="1:29" x14ac:dyDescent="0.25">
      <c r="A81">
        <v>40</v>
      </c>
      <c r="B81">
        <v>0.86046511627906974</v>
      </c>
      <c r="C81">
        <v>0.73913043478260865</v>
      </c>
      <c r="D81">
        <v>0.63492063492063489</v>
      </c>
      <c r="E81">
        <v>0.42857142857142849</v>
      </c>
      <c r="F81">
        <v>0.73913043478260865</v>
      </c>
      <c r="G81">
        <v>0.70370370370370372</v>
      </c>
      <c r="H81">
        <v>0.86046511627906974</v>
      </c>
      <c r="I81">
        <v>0.86046511627906974</v>
      </c>
      <c r="J81">
        <v>0.66666666666666663</v>
      </c>
      <c r="M81">
        <f t="shared" si="60"/>
        <v>0.12133468149646109</v>
      </c>
      <c r="N81">
        <f t="shared" si="61"/>
        <v>0.22554448135843486</v>
      </c>
      <c r="O81">
        <f t="shared" si="62"/>
        <v>0.43189368770764125</v>
      </c>
      <c r="P81">
        <f t="shared" si="63"/>
        <v>0.12133468149646109</v>
      </c>
      <c r="Q81">
        <f t="shared" si="64"/>
        <v>0.15676141257536602</v>
      </c>
      <c r="R81">
        <f t="shared" si="65"/>
        <v>0</v>
      </c>
      <c r="S81">
        <f t="shared" si="66"/>
        <v>0</v>
      </c>
      <c r="T81">
        <f t="shared" si="67"/>
        <v>0.19379844961240311</v>
      </c>
    </row>
    <row r="82" spans="1:29" s="10" customFormat="1" x14ac:dyDescent="0.25">
      <c r="A82" s="10" t="s">
        <v>63</v>
      </c>
      <c r="B82" s="10">
        <f>AVERAGE(B75:B81)</f>
        <v>0.73922457829043708</v>
      </c>
      <c r="C82" s="10">
        <f t="shared" ref="C82:J82" si="75">AVERAGE(C75:C81)</f>
        <v>0.55681274980982354</v>
      </c>
      <c r="D82" s="10">
        <f t="shared" si="75"/>
        <v>0.63701636349419599</v>
      </c>
      <c r="E82" s="10">
        <f t="shared" si="75"/>
        <v>0.424195287871246</v>
      </c>
      <c r="F82" s="10">
        <f t="shared" si="75"/>
        <v>0.60107031521400545</v>
      </c>
      <c r="G82" s="10">
        <f t="shared" si="75"/>
        <v>0.60064317054735183</v>
      </c>
      <c r="H82" s="10">
        <f t="shared" si="75"/>
        <v>0.72722029384033227</v>
      </c>
      <c r="I82" s="10">
        <f t="shared" si="75"/>
        <v>0.72490932160454791</v>
      </c>
      <c r="J82" s="10">
        <f t="shared" si="75"/>
        <v>0.54674990389276101</v>
      </c>
      <c r="M82" s="10">
        <f t="shared" si="60"/>
        <v>0.18241182848061355</v>
      </c>
      <c r="N82" s="10">
        <f t="shared" si="61"/>
        <v>0.10220821479624109</v>
      </c>
      <c r="O82" s="10">
        <f t="shared" si="62"/>
        <v>0.31502929041919109</v>
      </c>
      <c r="P82" s="10">
        <f t="shared" si="63"/>
        <v>0.13815426307643164</v>
      </c>
      <c r="Q82" s="10">
        <f t="shared" si="64"/>
        <v>0.13858140774308525</v>
      </c>
      <c r="R82" s="10">
        <f t="shared" si="65"/>
        <v>1.2004284450104818E-2</v>
      </c>
      <c r="S82" s="10">
        <f t="shared" si="66"/>
        <v>1.4315256685889177E-2</v>
      </c>
      <c r="T82" s="10">
        <f t="shared" si="67"/>
        <v>0.19247467439767607</v>
      </c>
      <c r="V82" s="10">
        <f>M82/C82</f>
        <v>0.32759994907249401</v>
      </c>
      <c r="W82" s="10">
        <f t="shared" ref="W82" si="76">N82/D82</f>
        <v>0.16044833485218993</v>
      </c>
      <c r="X82" s="10">
        <f t="shared" ref="X82" si="77">O82/E82</f>
        <v>0.7426515556080634</v>
      </c>
      <c r="Y82" s="10">
        <f t="shared" ref="Y82" si="78">P82/F82</f>
        <v>0.22984709039780662</v>
      </c>
      <c r="Z82" s="10">
        <f t="shared" ref="Z82" si="79">Q82/G82</f>
        <v>0.23072169057844993</v>
      </c>
      <c r="AA82" s="10">
        <f t="shared" ref="AA82" si="80">R82/H82</f>
        <v>1.6507081212918499E-2</v>
      </c>
      <c r="AB82" s="10">
        <f>S82/I82</f>
        <v>1.9747651546545331E-2</v>
      </c>
      <c r="AC82" s="10">
        <f t="shared" ref="AC82" si="81">T82/J82</f>
        <v>0.35203421715722488</v>
      </c>
    </row>
    <row r="83" spans="1:29" x14ac:dyDescent="0.25">
      <c r="A83">
        <v>10</v>
      </c>
      <c r="B83">
        <v>0.81818181818181823</v>
      </c>
      <c r="C83">
        <v>7.9207920792079195E-2</v>
      </c>
      <c r="D83">
        <v>6.3291139240506306E-2</v>
      </c>
      <c r="E83">
        <v>7.9207920792079195E-2</v>
      </c>
      <c r="F83">
        <v>7.9207920792079195E-2</v>
      </c>
      <c r="G83">
        <v>6.3291139240506306E-2</v>
      </c>
      <c r="H83">
        <v>7.2727272727272696E-2</v>
      </c>
      <c r="I83">
        <v>7.7669902912621297E-2</v>
      </c>
      <c r="J83">
        <v>7.9207920792079195E-2</v>
      </c>
      <c r="M83">
        <f t="shared" si="60"/>
        <v>0.73897389738973907</v>
      </c>
      <c r="N83">
        <f t="shared" si="61"/>
        <v>0.7548906789413119</v>
      </c>
      <c r="O83">
        <f t="shared" si="62"/>
        <v>0.73897389738973907</v>
      </c>
      <c r="P83">
        <f t="shared" si="63"/>
        <v>0.73897389738973907</v>
      </c>
      <c r="Q83">
        <f t="shared" si="64"/>
        <v>0.7548906789413119</v>
      </c>
      <c r="R83">
        <f t="shared" si="65"/>
        <v>0.74545454545454559</v>
      </c>
      <c r="S83">
        <f t="shared" si="66"/>
        <v>0.74051191526919691</v>
      </c>
      <c r="T83">
        <f t="shared" si="67"/>
        <v>0.73897389738973907</v>
      </c>
    </row>
    <row r="84" spans="1:29" x14ac:dyDescent="0.25">
      <c r="A84">
        <v>15</v>
      </c>
      <c r="B84">
        <v>0.76470588235294112</v>
      </c>
      <c r="C84">
        <v>0.1226415094339622</v>
      </c>
      <c r="D84">
        <v>9.1463414634146298E-2</v>
      </c>
      <c r="E84">
        <v>0.1226415094339622</v>
      </c>
      <c r="F84">
        <v>0.1130434782608695</v>
      </c>
      <c r="G84">
        <v>9.1463414634146298E-2</v>
      </c>
      <c r="H84">
        <v>0.1083333333333333</v>
      </c>
      <c r="I84">
        <v>0.11009174311926601</v>
      </c>
      <c r="J84">
        <v>0.1226415094339622</v>
      </c>
      <c r="M84">
        <f t="shared" si="60"/>
        <v>0.64206437291897889</v>
      </c>
      <c r="N84">
        <f t="shared" si="61"/>
        <v>0.67324246771879481</v>
      </c>
      <c r="O84">
        <f t="shared" si="62"/>
        <v>0.64206437291897889</v>
      </c>
      <c r="P84">
        <f t="shared" si="63"/>
        <v>0.65166240409207166</v>
      </c>
      <c r="Q84">
        <f t="shared" si="64"/>
        <v>0.67324246771879481</v>
      </c>
      <c r="R84">
        <f t="shared" si="65"/>
        <v>0.65637254901960784</v>
      </c>
      <c r="S84">
        <f t="shared" si="66"/>
        <v>0.65461413923367506</v>
      </c>
      <c r="T84">
        <f t="shared" si="67"/>
        <v>0.64206437291897889</v>
      </c>
    </row>
    <row r="85" spans="1:29" x14ac:dyDescent="0.25">
      <c r="A85">
        <v>20</v>
      </c>
      <c r="B85">
        <v>0.86956521739130432</v>
      </c>
      <c r="C85">
        <v>0.1393442622950819</v>
      </c>
      <c r="D85">
        <v>0.1280487804878048</v>
      </c>
      <c r="E85">
        <v>0.1393442622950819</v>
      </c>
      <c r="F85">
        <v>0.1393442622950819</v>
      </c>
      <c r="G85">
        <v>0.1280487804878048</v>
      </c>
      <c r="H85">
        <v>0.152</v>
      </c>
      <c r="I85">
        <v>0.14782608695652169</v>
      </c>
      <c r="J85">
        <v>0.1393442622950819</v>
      </c>
      <c r="K85">
        <f>MIN(C83:J89)</f>
        <v>6.3291139240506306E-2</v>
      </c>
      <c r="M85">
        <f t="shared" si="60"/>
        <v>0.73022095509622242</v>
      </c>
      <c r="N85">
        <f t="shared" si="61"/>
        <v>0.74151643690349955</v>
      </c>
      <c r="O85">
        <f t="shared" si="62"/>
        <v>0.73022095509622242</v>
      </c>
      <c r="P85">
        <f t="shared" si="63"/>
        <v>0.73022095509622242</v>
      </c>
      <c r="Q85">
        <f t="shared" si="64"/>
        <v>0.74151643690349955</v>
      </c>
      <c r="R85">
        <f t="shared" si="65"/>
        <v>0.7175652173913043</v>
      </c>
      <c r="S85">
        <f t="shared" si="66"/>
        <v>0.72173913043478266</v>
      </c>
      <c r="T85">
        <f t="shared" si="67"/>
        <v>0.73022095509622242</v>
      </c>
    </row>
    <row r="86" spans="1:29" x14ac:dyDescent="0.25">
      <c r="A86">
        <v>25</v>
      </c>
      <c r="B86">
        <v>0.89655172413793105</v>
      </c>
      <c r="C86">
        <v>0.19685039370078741</v>
      </c>
      <c r="D86">
        <v>0.1707317073170731</v>
      </c>
      <c r="E86">
        <v>0.1889763779527559</v>
      </c>
      <c r="F86">
        <v>0.2</v>
      </c>
      <c r="G86">
        <v>0.1707317073170731</v>
      </c>
      <c r="H86">
        <v>0.19847328244274809</v>
      </c>
      <c r="I86">
        <v>0.17692307692307691</v>
      </c>
      <c r="J86">
        <v>0.19685039370078741</v>
      </c>
      <c r="K86">
        <f>MAX(C83:J89)</f>
        <v>0.27027027027027029</v>
      </c>
      <c r="M86">
        <f t="shared" si="60"/>
        <v>0.69970133043714366</v>
      </c>
      <c r="N86">
        <f t="shared" si="61"/>
        <v>0.72582001682085795</v>
      </c>
      <c r="O86">
        <f t="shared" si="62"/>
        <v>0.70757534618517515</v>
      </c>
      <c r="P86">
        <f t="shared" si="63"/>
        <v>0.69655172413793109</v>
      </c>
      <c r="Q86">
        <f t="shared" si="64"/>
        <v>0.72582001682085795</v>
      </c>
      <c r="R86">
        <f t="shared" si="65"/>
        <v>0.69807844169518296</v>
      </c>
      <c r="S86">
        <f t="shared" si="66"/>
        <v>0.71962864721485409</v>
      </c>
      <c r="T86">
        <f t="shared" si="67"/>
        <v>0.69970133043714366</v>
      </c>
    </row>
    <row r="87" spans="1:29" x14ac:dyDescent="0.25">
      <c r="A87">
        <v>30</v>
      </c>
      <c r="B87">
        <v>0.8571428571428571</v>
      </c>
      <c r="C87">
        <v>0.2330827067669172</v>
      </c>
      <c r="D87">
        <v>0.20121951219512191</v>
      </c>
      <c r="E87">
        <v>0.2330827067669172</v>
      </c>
      <c r="F87">
        <v>0.218978102189781</v>
      </c>
      <c r="G87">
        <v>0.20121951219512191</v>
      </c>
      <c r="H87">
        <v>0.21582733812949639</v>
      </c>
      <c r="I87">
        <v>0.22058823529411761</v>
      </c>
      <c r="J87">
        <v>0.22058823529411761</v>
      </c>
      <c r="M87">
        <f t="shared" si="60"/>
        <v>0.62406015037593987</v>
      </c>
      <c r="N87">
        <f t="shared" si="61"/>
        <v>0.65592334494773519</v>
      </c>
      <c r="O87">
        <f t="shared" si="62"/>
        <v>0.62406015037593987</v>
      </c>
      <c r="P87">
        <f t="shared" si="63"/>
        <v>0.63816475495307612</v>
      </c>
      <c r="Q87">
        <f t="shared" si="64"/>
        <v>0.65592334494773519</v>
      </c>
      <c r="R87">
        <f t="shared" si="65"/>
        <v>0.6413155190133607</v>
      </c>
      <c r="S87">
        <f t="shared" si="66"/>
        <v>0.63655462184873945</v>
      </c>
      <c r="T87">
        <f t="shared" si="67"/>
        <v>0.63655462184873945</v>
      </c>
    </row>
    <row r="88" spans="1:29" x14ac:dyDescent="0.25">
      <c r="A88">
        <v>35</v>
      </c>
      <c r="B88">
        <v>0.92307692307692324</v>
      </c>
      <c r="C88">
        <v>0.2464788732394366</v>
      </c>
      <c r="D88">
        <v>0.23170731707317069</v>
      </c>
      <c r="E88">
        <v>0.24475524475524471</v>
      </c>
      <c r="F88">
        <v>0.2430555555555555</v>
      </c>
      <c r="G88">
        <v>0.23170731707317069</v>
      </c>
      <c r="H88">
        <v>0.2430555555555555</v>
      </c>
      <c r="I88">
        <v>0.2361111111111111</v>
      </c>
      <c r="J88">
        <v>0.24475524475524471</v>
      </c>
      <c r="M88">
        <f t="shared" si="60"/>
        <v>0.67659804983748661</v>
      </c>
      <c r="N88">
        <f t="shared" si="61"/>
        <v>0.69136960600375252</v>
      </c>
      <c r="O88">
        <f t="shared" si="62"/>
        <v>0.67832167832167856</v>
      </c>
      <c r="P88">
        <f t="shared" si="63"/>
        <v>0.68002136752136777</v>
      </c>
      <c r="Q88">
        <f t="shared" si="64"/>
        <v>0.69136960600375252</v>
      </c>
      <c r="R88">
        <f t="shared" si="65"/>
        <v>0.68002136752136777</v>
      </c>
      <c r="S88">
        <f t="shared" si="66"/>
        <v>0.68696581196581219</v>
      </c>
      <c r="T88">
        <f t="shared" si="67"/>
        <v>0.67832167832167856</v>
      </c>
    </row>
    <row r="89" spans="1:29" x14ac:dyDescent="0.25">
      <c r="A89">
        <v>40</v>
      </c>
      <c r="B89">
        <v>0.88888888888888884</v>
      </c>
      <c r="C89">
        <v>0.27027027027027029</v>
      </c>
      <c r="D89">
        <v>0.26219512195121952</v>
      </c>
      <c r="E89">
        <v>0.26845637583892618</v>
      </c>
      <c r="F89">
        <v>0.26</v>
      </c>
      <c r="G89">
        <v>0.26219512195121952</v>
      </c>
      <c r="H89">
        <v>0.26</v>
      </c>
      <c r="I89">
        <v>0.26</v>
      </c>
      <c r="J89">
        <v>0.26845637583892618</v>
      </c>
      <c r="M89">
        <f t="shared" si="60"/>
        <v>0.61861861861861855</v>
      </c>
      <c r="N89">
        <f t="shared" si="61"/>
        <v>0.62669376693766932</v>
      </c>
      <c r="O89">
        <f t="shared" si="62"/>
        <v>0.62043251304996261</v>
      </c>
      <c r="P89">
        <f t="shared" si="63"/>
        <v>0.62888888888888883</v>
      </c>
      <c r="Q89">
        <f t="shared" si="64"/>
        <v>0.62669376693766932</v>
      </c>
      <c r="R89">
        <f t="shared" si="65"/>
        <v>0.62888888888888883</v>
      </c>
      <c r="S89">
        <f t="shared" si="66"/>
        <v>0.62888888888888883</v>
      </c>
      <c r="T89">
        <f t="shared" si="67"/>
        <v>0.62043251304996261</v>
      </c>
    </row>
    <row r="90" spans="1:29" s="10" customFormat="1" x14ac:dyDescent="0.25">
      <c r="A90" s="10" t="s">
        <v>38</v>
      </c>
      <c r="B90" s="10">
        <f>AVERAGE(B83:B89)</f>
        <v>0.85973047302466632</v>
      </c>
      <c r="C90" s="10">
        <f t="shared" ref="C90:J90" si="82">AVERAGE(C83:C89)</f>
        <v>0.18398227664264782</v>
      </c>
      <c r="D90" s="10">
        <f t="shared" si="82"/>
        <v>0.16409385612843466</v>
      </c>
      <c r="E90" s="10">
        <f t="shared" si="82"/>
        <v>0.18235205683356678</v>
      </c>
      <c r="F90" s="10">
        <f t="shared" si="82"/>
        <v>0.17908990272762385</v>
      </c>
      <c r="G90" s="10">
        <f t="shared" si="82"/>
        <v>0.16409385612843466</v>
      </c>
      <c r="H90" s="10">
        <f t="shared" si="82"/>
        <v>0.17863096888405799</v>
      </c>
      <c r="I90" s="10">
        <f t="shared" si="82"/>
        <v>0.1756014509023878</v>
      </c>
      <c r="J90" s="10">
        <f t="shared" si="82"/>
        <v>0.18169199173002845</v>
      </c>
      <c r="M90" s="10">
        <f t="shared" si="60"/>
        <v>0.67574819638201844</v>
      </c>
      <c r="N90" s="10">
        <f t="shared" si="61"/>
        <v>0.69563661689623169</v>
      </c>
      <c r="O90" s="10">
        <f t="shared" si="62"/>
        <v>0.67737841619109951</v>
      </c>
      <c r="P90" s="10">
        <f t="shared" si="63"/>
        <v>0.6806405702970425</v>
      </c>
      <c r="Q90" s="10">
        <f t="shared" si="64"/>
        <v>0.69563661689623169</v>
      </c>
      <c r="R90" s="10">
        <f t="shared" si="65"/>
        <v>0.68109950414060827</v>
      </c>
      <c r="S90" s="10">
        <f t="shared" si="66"/>
        <v>0.68412902212227855</v>
      </c>
      <c r="T90" s="10">
        <f t="shared" si="67"/>
        <v>0.67803848129463784</v>
      </c>
      <c r="V90" s="10">
        <f>M90/C90</f>
        <v>3.6728983286500831</v>
      </c>
      <c r="W90" s="10">
        <f t="shared" ref="W90" si="83">N90/D90</f>
        <v>4.2392605872566227</v>
      </c>
      <c r="X90" s="10">
        <f t="shared" ref="X90" si="84">O90/E90</f>
        <v>3.7146738454907839</v>
      </c>
      <c r="Y90" s="10">
        <f t="shared" ref="Y90" si="85">P90/F90</f>
        <v>3.800552459577927</v>
      </c>
      <c r="Z90" s="10">
        <f t="shared" ref="Z90" si="86">Q90/G90</f>
        <v>4.2392605872566227</v>
      </c>
      <c r="AA90" s="10">
        <f t="shared" ref="AA90" si="87">R90/H90</f>
        <v>3.8128859088408231</v>
      </c>
      <c r="AB90" s="10">
        <f>S90/I90</f>
        <v>3.8959189608437108</v>
      </c>
      <c r="AC90" s="10">
        <f t="shared" ref="AC90" si="88">T90/J90</f>
        <v>3.7318016872318629</v>
      </c>
    </row>
    <row r="91" spans="1:29" x14ac:dyDescent="0.25">
      <c r="A91">
        <v>10</v>
      </c>
      <c r="B91">
        <v>0.42857142857142849</v>
      </c>
      <c r="C91">
        <v>0.42857142857142849</v>
      </c>
      <c r="D91">
        <v>0.41176470588235292</v>
      </c>
      <c r="E91">
        <v>0.25</v>
      </c>
      <c r="F91">
        <v>0.42857142857142849</v>
      </c>
      <c r="G91">
        <v>0.4</v>
      </c>
      <c r="H91">
        <v>0.42857142857142849</v>
      </c>
      <c r="I91">
        <v>0.42857142857142849</v>
      </c>
      <c r="J91">
        <v>0.33333333333333331</v>
      </c>
      <c r="M91">
        <f t="shared" si="60"/>
        <v>0</v>
      </c>
      <c r="N91">
        <f t="shared" si="61"/>
        <v>1.6806722689075571E-2</v>
      </c>
      <c r="O91">
        <f t="shared" si="62"/>
        <v>0.17857142857142849</v>
      </c>
      <c r="P91">
        <f t="shared" si="63"/>
        <v>0</v>
      </c>
      <c r="Q91">
        <f t="shared" si="64"/>
        <v>2.857142857142847E-2</v>
      </c>
      <c r="R91">
        <f t="shared" si="65"/>
        <v>0</v>
      </c>
      <c r="S91">
        <f t="shared" si="66"/>
        <v>0</v>
      </c>
      <c r="T91">
        <f t="shared" si="67"/>
        <v>9.5238095238095177E-2</v>
      </c>
    </row>
    <row r="92" spans="1:29" x14ac:dyDescent="0.25">
      <c r="A92">
        <v>15</v>
      </c>
      <c r="B92">
        <v>0.66666666666666663</v>
      </c>
      <c r="C92">
        <v>0.36363636363636359</v>
      </c>
      <c r="D92">
        <v>0.54166666666666663</v>
      </c>
      <c r="E92">
        <v>0.2</v>
      </c>
      <c r="F92">
        <v>0.36363636363636359</v>
      </c>
      <c r="G92">
        <v>0.52380952380952384</v>
      </c>
      <c r="H92">
        <v>0.5</v>
      </c>
      <c r="I92">
        <v>0.57894736842105265</v>
      </c>
      <c r="J92">
        <v>0.25</v>
      </c>
      <c r="M92">
        <f t="shared" si="60"/>
        <v>0.30303030303030304</v>
      </c>
      <c r="N92">
        <f t="shared" si="61"/>
        <v>0.125</v>
      </c>
      <c r="O92">
        <f t="shared" si="62"/>
        <v>0.46666666666666662</v>
      </c>
      <c r="P92">
        <f t="shared" si="63"/>
        <v>0.30303030303030304</v>
      </c>
      <c r="Q92">
        <f t="shared" si="64"/>
        <v>0.14285714285714279</v>
      </c>
      <c r="R92">
        <f t="shared" si="65"/>
        <v>0.16666666666666663</v>
      </c>
      <c r="S92">
        <f t="shared" si="66"/>
        <v>8.7719298245613975E-2</v>
      </c>
      <c r="T92">
        <f t="shared" si="67"/>
        <v>0.41666666666666663</v>
      </c>
    </row>
    <row r="93" spans="1:29" x14ac:dyDescent="0.25">
      <c r="A93">
        <v>20</v>
      </c>
      <c r="B93">
        <v>0.66666666666666663</v>
      </c>
      <c r="C93">
        <v>0.33333333333333331</v>
      </c>
      <c r="D93">
        <v>0.51351351351351349</v>
      </c>
      <c r="E93">
        <v>0.25</v>
      </c>
      <c r="F93">
        <v>0.37931034482758619</v>
      </c>
      <c r="G93">
        <v>0.41176470588235292</v>
      </c>
      <c r="H93">
        <v>0.66666666666666663</v>
      </c>
      <c r="I93">
        <v>0.6</v>
      </c>
      <c r="J93">
        <v>0.29032258064516131</v>
      </c>
      <c r="M93">
        <f t="shared" si="60"/>
        <v>0.33333333333333331</v>
      </c>
      <c r="N93">
        <f t="shared" si="61"/>
        <v>0.15315315315315314</v>
      </c>
      <c r="O93">
        <f t="shared" si="62"/>
        <v>0.41666666666666663</v>
      </c>
      <c r="P93">
        <f t="shared" si="63"/>
        <v>0.28735632183908044</v>
      </c>
      <c r="Q93">
        <f t="shared" si="64"/>
        <v>0.25490196078431371</v>
      </c>
      <c r="R93">
        <f t="shared" si="65"/>
        <v>0</v>
      </c>
      <c r="S93">
        <f t="shared" si="66"/>
        <v>6.6666666666666652E-2</v>
      </c>
      <c r="T93">
        <f t="shared" si="67"/>
        <v>0.37634408602150532</v>
      </c>
    </row>
    <row r="94" spans="1:29" x14ac:dyDescent="0.25">
      <c r="A94">
        <v>25</v>
      </c>
      <c r="B94">
        <v>0.66666666666666663</v>
      </c>
      <c r="C94">
        <v>0.42857142857142849</v>
      </c>
      <c r="D94">
        <v>0.42857142857142849</v>
      </c>
      <c r="E94">
        <v>0.25</v>
      </c>
      <c r="F94">
        <v>0.42857142857142849</v>
      </c>
      <c r="G94">
        <v>0.47619047619047611</v>
      </c>
      <c r="H94">
        <v>0.61290322580645162</v>
      </c>
      <c r="I94">
        <v>0.61290322580645162</v>
      </c>
      <c r="J94">
        <v>0.31578947368421051</v>
      </c>
      <c r="M94">
        <f t="shared" si="60"/>
        <v>0.23809523809523814</v>
      </c>
      <c r="N94">
        <f t="shared" si="61"/>
        <v>0.23809523809523814</v>
      </c>
      <c r="O94">
        <f t="shared" si="62"/>
        <v>0.41666666666666663</v>
      </c>
      <c r="P94">
        <f t="shared" si="63"/>
        <v>0.23809523809523814</v>
      </c>
      <c r="Q94">
        <f t="shared" si="64"/>
        <v>0.19047619047619052</v>
      </c>
      <c r="R94">
        <f t="shared" si="65"/>
        <v>5.3763440860215006E-2</v>
      </c>
      <c r="S94">
        <f t="shared" si="66"/>
        <v>5.3763440860215006E-2</v>
      </c>
      <c r="T94">
        <f t="shared" si="67"/>
        <v>0.35087719298245612</v>
      </c>
    </row>
    <row r="95" spans="1:29" x14ac:dyDescent="0.25">
      <c r="A95">
        <v>30</v>
      </c>
      <c r="B95">
        <v>0.74285714285714288</v>
      </c>
      <c r="C95">
        <v>0.41860465116279072</v>
      </c>
      <c r="D95">
        <v>0.45588235294117641</v>
      </c>
      <c r="E95">
        <v>0.2978723404255319</v>
      </c>
      <c r="F95">
        <v>0.41860465116279072</v>
      </c>
      <c r="G95">
        <v>0.48076923076923078</v>
      </c>
      <c r="H95">
        <v>0.63157894736842102</v>
      </c>
      <c r="I95">
        <v>0.64864864864864868</v>
      </c>
      <c r="J95">
        <v>0.35555555555555551</v>
      </c>
      <c r="M95">
        <f t="shared" si="60"/>
        <v>0.32425249169435216</v>
      </c>
      <c r="N95">
        <f t="shared" si="61"/>
        <v>0.28697478991596648</v>
      </c>
      <c r="O95">
        <f t="shared" si="62"/>
        <v>0.44498480243161098</v>
      </c>
      <c r="P95">
        <f t="shared" si="63"/>
        <v>0.32425249169435216</v>
      </c>
      <c r="Q95">
        <f t="shared" si="64"/>
        <v>0.2620879120879121</v>
      </c>
      <c r="R95">
        <f t="shared" si="65"/>
        <v>0.11127819548872186</v>
      </c>
      <c r="S95">
        <f t="shared" si="66"/>
        <v>9.4208494208494198E-2</v>
      </c>
      <c r="T95">
        <f t="shared" si="67"/>
        <v>0.38730158730158737</v>
      </c>
    </row>
    <row r="96" spans="1:29" x14ac:dyDescent="0.25">
      <c r="A96">
        <v>35</v>
      </c>
      <c r="B96">
        <v>0.77500000000000002</v>
      </c>
      <c r="C96">
        <v>0.47916666666666669</v>
      </c>
      <c r="D96">
        <v>0.4</v>
      </c>
      <c r="E96">
        <v>0.2857142857142857</v>
      </c>
      <c r="F96">
        <v>0.51063829787234039</v>
      </c>
      <c r="G96">
        <v>0.52542372881355937</v>
      </c>
      <c r="H96">
        <v>0.67441860465116277</v>
      </c>
      <c r="I96">
        <v>0.6</v>
      </c>
      <c r="J96">
        <v>0.42</v>
      </c>
      <c r="M96">
        <f t="shared" si="60"/>
        <v>0.29583333333333334</v>
      </c>
      <c r="N96">
        <f t="shared" si="61"/>
        <v>0.375</v>
      </c>
      <c r="O96">
        <f t="shared" si="62"/>
        <v>0.48928571428571432</v>
      </c>
      <c r="P96">
        <f t="shared" si="63"/>
        <v>0.26436170212765964</v>
      </c>
      <c r="Q96">
        <f t="shared" si="64"/>
        <v>0.24957627118644066</v>
      </c>
      <c r="R96">
        <f t="shared" si="65"/>
        <v>0.10058139534883725</v>
      </c>
      <c r="S96">
        <f t="shared" si="66"/>
        <v>0.17500000000000004</v>
      </c>
      <c r="T96">
        <f t="shared" si="67"/>
        <v>0.35500000000000004</v>
      </c>
    </row>
    <row r="97" spans="1:29" x14ac:dyDescent="0.25">
      <c r="A97">
        <v>40</v>
      </c>
      <c r="B97">
        <v>0.74468085106382975</v>
      </c>
      <c r="C97">
        <v>0.4642857142857143</v>
      </c>
      <c r="D97">
        <v>0.35897435897435898</v>
      </c>
      <c r="E97">
        <v>0.33870967741935482</v>
      </c>
      <c r="F97">
        <v>0.51851851851851849</v>
      </c>
      <c r="G97">
        <v>0.5</v>
      </c>
      <c r="H97">
        <v>0.66</v>
      </c>
      <c r="I97">
        <v>0.62745098039215685</v>
      </c>
      <c r="J97">
        <v>0.4137931034482758</v>
      </c>
      <c r="M97">
        <f t="shared" si="60"/>
        <v>0.28039513677811545</v>
      </c>
      <c r="N97">
        <f t="shared" si="61"/>
        <v>0.38570649208947078</v>
      </c>
      <c r="O97">
        <f t="shared" si="62"/>
        <v>0.40597117364447494</v>
      </c>
      <c r="P97">
        <f t="shared" si="63"/>
        <v>0.22616233254531126</v>
      </c>
      <c r="Q97">
        <f t="shared" si="64"/>
        <v>0.24468085106382975</v>
      </c>
      <c r="R97">
        <f t="shared" si="65"/>
        <v>8.4680851063829721E-2</v>
      </c>
      <c r="S97">
        <f t="shared" si="66"/>
        <v>0.1172298706716729</v>
      </c>
      <c r="T97">
        <f t="shared" si="67"/>
        <v>0.33088774761555395</v>
      </c>
    </row>
    <row r="98" spans="1:29" s="10" customFormat="1" x14ac:dyDescent="0.25">
      <c r="A98" s="10" t="s">
        <v>12</v>
      </c>
      <c r="B98" s="10">
        <f>AVERAGE(B91:B97)</f>
        <v>0.67015848892748586</v>
      </c>
      <c r="C98" s="10">
        <f t="shared" ref="C98:J98" si="89">AVERAGE(C91:C97)</f>
        <v>0.41659565517538943</v>
      </c>
      <c r="D98" s="10">
        <f t="shared" si="89"/>
        <v>0.44433900379278529</v>
      </c>
      <c r="E98" s="10">
        <f t="shared" si="89"/>
        <v>0.26747090050845318</v>
      </c>
      <c r="F98" s="10">
        <f t="shared" si="89"/>
        <v>0.43540729045149373</v>
      </c>
      <c r="G98" s="10">
        <f t="shared" si="89"/>
        <v>0.47399395220930612</v>
      </c>
      <c r="H98" s="10">
        <f t="shared" si="89"/>
        <v>0.59630555329487578</v>
      </c>
      <c r="I98" s="10">
        <f t="shared" si="89"/>
        <v>0.5852173788342484</v>
      </c>
      <c r="J98" s="10">
        <f t="shared" si="89"/>
        <v>0.33982772095236236</v>
      </c>
      <c r="M98" s="10">
        <f t="shared" si="60"/>
        <v>0.25356283375209643</v>
      </c>
      <c r="N98" s="10">
        <f t="shared" si="61"/>
        <v>0.22581948513470057</v>
      </c>
      <c r="O98" s="10">
        <f t="shared" si="62"/>
        <v>0.40268758841903268</v>
      </c>
      <c r="P98" s="10">
        <f t="shared" si="63"/>
        <v>0.23475119847599213</v>
      </c>
      <c r="Q98" s="10">
        <f t="shared" si="64"/>
        <v>0.19616453671817974</v>
      </c>
      <c r="R98" s="10">
        <f t="shared" si="65"/>
        <v>7.3852935632610084E-2</v>
      </c>
      <c r="S98" s="10">
        <f t="shared" si="66"/>
        <v>8.494111009323746E-2</v>
      </c>
      <c r="T98" s="10">
        <f t="shared" si="67"/>
        <v>0.33033076797512351</v>
      </c>
      <c r="V98" s="10">
        <f>M98/C98</f>
        <v>0.60865453252349655</v>
      </c>
      <c r="W98" s="10">
        <f t="shared" ref="W98" si="90">N98/D98</f>
        <v>0.50821441108512289</v>
      </c>
      <c r="X98" s="10">
        <f t="shared" ref="X98" si="91">O98/E98</f>
        <v>1.5055379394675725</v>
      </c>
      <c r="Y98" s="10">
        <f t="shared" ref="Y98" si="92">P98/F98</f>
        <v>0.53915311852626047</v>
      </c>
      <c r="Z98" s="10">
        <f t="shared" ref="Z98" si="93">Q98/G98</f>
        <v>0.41385451397396195</v>
      </c>
      <c r="AA98" s="10">
        <f t="shared" ref="AA98" si="94">R98/H98</f>
        <v>0.12385082651760829</v>
      </c>
      <c r="AB98" s="10">
        <f>S98/I98</f>
        <v>0.1451445448568871</v>
      </c>
      <c r="AC98" s="10">
        <f t="shared" ref="AC98" si="95">T98/J98</f>
        <v>0.97205362484666125</v>
      </c>
    </row>
    <row r="99" spans="1:29" x14ac:dyDescent="0.25">
      <c r="A99">
        <v>10</v>
      </c>
      <c r="B99">
        <v>0.53846153846153844</v>
      </c>
      <c r="C99">
        <v>5.2631578947368397E-2</v>
      </c>
      <c r="D99">
        <v>0.2857142857142857</v>
      </c>
      <c r="E99">
        <v>5.2631578947368397E-2</v>
      </c>
      <c r="F99">
        <v>0.1111111111111111</v>
      </c>
      <c r="G99">
        <v>0.1111111111111111</v>
      </c>
      <c r="H99">
        <v>0.66666666666666663</v>
      </c>
      <c r="I99">
        <v>0.42857142857142849</v>
      </c>
      <c r="J99">
        <v>5.2631578947368397E-2</v>
      </c>
      <c r="M99">
        <f t="shared" si="60"/>
        <v>0.48582995951417002</v>
      </c>
      <c r="N99">
        <f t="shared" si="61"/>
        <v>0.25274725274725274</v>
      </c>
      <c r="O99">
        <f t="shared" si="62"/>
        <v>0.48582995951417002</v>
      </c>
      <c r="P99">
        <f t="shared" si="63"/>
        <v>0.42735042735042733</v>
      </c>
      <c r="Q99">
        <f t="shared" si="64"/>
        <v>0.42735042735042733</v>
      </c>
      <c r="R99">
        <f t="shared" si="65"/>
        <v>-0.12820512820512819</v>
      </c>
      <c r="S99">
        <f t="shared" si="66"/>
        <v>0.10989010989010994</v>
      </c>
      <c r="T99">
        <f t="shared" si="67"/>
        <v>0.48582995951417002</v>
      </c>
    </row>
    <row r="100" spans="1:29" x14ac:dyDescent="0.25">
      <c r="A100">
        <v>15</v>
      </c>
      <c r="B100">
        <v>0.5</v>
      </c>
      <c r="C100">
        <v>0.1111111111111111</v>
      </c>
      <c r="D100">
        <v>0.26829268292682928</v>
      </c>
      <c r="E100">
        <v>7.1428571428571397E-2</v>
      </c>
      <c r="F100">
        <v>0.25</v>
      </c>
      <c r="G100">
        <v>7.1428571428571397E-2</v>
      </c>
      <c r="H100">
        <v>0.42857142857142849</v>
      </c>
      <c r="I100">
        <v>0.36363636363636359</v>
      </c>
      <c r="J100">
        <v>0.1111111111111111</v>
      </c>
      <c r="M100">
        <f t="shared" si="60"/>
        <v>0.3888888888888889</v>
      </c>
      <c r="N100">
        <f t="shared" si="61"/>
        <v>0.23170731707317072</v>
      </c>
      <c r="O100">
        <f t="shared" si="62"/>
        <v>0.4285714285714286</v>
      </c>
      <c r="P100">
        <f t="shared" si="63"/>
        <v>0.25</v>
      </c>
      <c r="Q100">
        <f t="shared" si="64"/>
        <v>0.4285714285714286</v>
      </c>
      <c r="R100">
        <f t="shared" si="65"/>
        <v>7.1428571428571508E-2</v>
      </c>
      <c r="S100">
        <f t="shared" si="66"/>
        <v>0.13636363636363641</v>
      </c>
      <c r="T100">
        <f t="shared" si="67"/>
        <v>0.3888888888888889</v>
      </c>
    </row>
    <row r="101" spans="1:29" x14ac:dyDescent="0.25">
      <c r="A101">
        <v>20</v>
      </c>
      <c r="B101">
        <v>0.4814814814814814</v>
      </c>
      <c r="C101">
        <v>0.1764705882352941</v>
      </c>
      <c r="D101">
        <v>0.2432432432432432</v>
      </c>
      <c r="E101">
        <v>8.1081081081081002E-2</v>
      </c>
      <c r="F101">
        <v>0.2121212121212121</v>
      </c>
      <c r="G101">
        <v>8.1081081081081002E-2</v>
      </c>
      <c r="H101">
        <v>0.4814814814814814</v>
      </c>
      <c r="I101">
        <v>0.42857142857142849</v>
      </c>
      <c r="J101">
        <v>8.1081081081081002E-2</v>
      </c>
      <c r="M101">
        <f t="shared" si="60"/>
        <v>0.3050108932461873</v>
      </c>
      <c r="N101">
        <f t="shared" si="61"/>
        <v>0.2382382382382382</v>
      </c>
      <c r="O101">
        <f t="shared" si="62"/>
        <v>0.40040040040040037</v>
      </c>
      <c r="P101">
        <f t="shared" si="63"/>
        <v>0.2693602693602693</v>
      </c>
      <c r="Q101">
        <f t="shared" si="64"/>
        <v>0.40040040040040037</v>
      </c>
      <c r="R101">
        <f t="shared" si="65"/>
        <v>0</v>
      </c>
      <c r="S101">
        <f t="shared" si="66"/>
        <v>5.2910052910052907E-2</v>
      </c>
      <c r="T101">
        <f t="shared" si="67"/>
        <v>0.40040040040040037</v>
      </c>
    </row>
    <row r="102" spans="1:29" x14ac:dyDescent="0.25">
      <c r="A102">
        <v>25</v>
      </c>
      <c r="B102">
        <v>0.47058823529411759</v>
      </c>
      <c r="C102">
        <v>0.19047619047619041</v>
      </c>
      <c r="D102">
        <v>0.12698412698412689</v>
      </c>
      <c r="E102">
        <v>0.1111111111111111</v>
      </c>
      <c r="F102">
        <v>0.28205128205128199</v>
      </c>
      <c r="G102">
        <v>8.5106382978723402E-2</v>
      </c>
      <c r="H102">
        <v>0.5625</v>
      </c>
      <c r="I102">
        <v>0.3888888888888889</v>
      </c>
      <c r="J102">
        <v>0.19047619047619041</v>
      </c>
      <c r="M102">
        <f t="shared" si="60"/>
        <v>0.28011204481792717</v>
      </c>
      <c r="N102">
        <f t="shared" si="61"/>
        <v>0.34360410830999066</v>
      </c>
      <c r="O102">
        <f t="shared" si="62"/>
        <v>0.35947712418300648</v>
      </c>
      <c r="P102">
        <f t="shared" si="63"/>
        <v>0.18853695324283559</v>
      </c>
      <c r="Q102">
        <f t="shared" si="64"/>
        <v>0.38548185231539417</v>
      </c>
      <c r="R102">
        <f t="shared" si="65"/>
        <v>-9.1911764705882415E-2</v>
      </c>
      <c r="S102">
        <f t="shared" si="66"/>
        <v>8.169934640522869E-2</v>
      </c>
      <c r="T102">
        <f t="shared" si="67"/>
        <v>0.28011204481792717</v>
      </c>
    </row>
    <row r="103" spans="1:29" x14ac:dyDescent="0.25">
      <c r="A103">
        <v>30</v>
      </c>
      <c r="B103">
        <v>0.57894736842105265</v>
      </c>
      <c r="C103">
        <v>0.22448979591836729</v>
      </c>
      <c r="D103">
        <v>4.90998363338788E-2</v>
      </c>
      <c r="E103">
        <v>0.1538461538461538</v>
      </c>
      <c r="F103">
        <v>0.30434782608695649</v>
      </c>
      <c r="G103">
        <v>6.7796610169491497E-2</v>
      </c>
      <c r="H103">
        <v>0.46341463414634149</v>
      </c>
      <c r="I103">
        <v>0.46341463414634149</v>
      </c>
      <c r="J103">
        <v>0.2</v>
      </c>
      <c r="M103">
        <f t="shared" si="60"/>
        <v>0.35445757250268539</v>
      </c>
      <c r="N103">
        <f t="shared" si="61"/>
        <v>0.52984753208717383</v>
      </c>
      <c r="O103">
        <f t="shared" si="62"/>
        <v>0.42510121457489886</v>
      </c>
      <c r="P103">
        <f t="shared" si="63"/>
        <v>0.27459954233409617</v>
      </c>
      <c r="Q103">
        <f t="shared" si="64"/>
        <v>0.5111507582515612</v>
      </c>
      <c r="R103">
        <f t="shared" si="65"/>
        <v>0.11553273427471117</v>
      </c>
      <c r="S103">
        <f t="shared" si="66"/>
        <v>0.11553273427471117</v>
      </c>
      <c r="T103">
        <f t="shared" si="67"/>
        <v>0.37894736842105264</v>
      </c>
    </row>
    <row r="104" spans="1:29" x14ac:dyDescent="0.25">
      <c r="A104">
        <v>35</v>
      </c>
      <c r="B104">
        <v>0.55555555555555558</v>
      </c>
      <c r="C104">
        <v>0.25</v>
      </c>
      <c r="D104">
        <v>2.1698698078115301E-2</v>
      </c>
      <c r="E104">
        <v>0.1666666666666666</v>
      </c>
      <c r="F104">
        <v>0.27272727272727271</v>
      </c>
      <c r="G104">
        <v>5.7971014492753603E-2</v>
      </c>
      <c r="H104">
        <v>0.4893617021276595</v>
      </c>
      <c r="I104">
        <v>0.45833333333333331</v>
      </c>
      <c r="J104">
        <v>0.1666666666666666</v>
      </c>
      <c r="M104">
        <f t="shared" si="60"/>
        <v>0.30555555555555558</v>
      </c>
      <c r="N104">
        <f t="shared" si="61"/>
        <v>0.53385685747744027</v>
      </c>
      <c r="O104">
        <f t="shared" si="62"/>
        <v>0.38888888888888895</v>
      </c>
      <c r="P104">
        <f t="shared" si="63"/>
        <v>0.28282828282828287</v>
      </c>
      <c r="Q104">
        <f t="shared" si="64"/>
        <v>0.49758454106280198</v>
      </c>
      <c r="R104">
        <f t="shared" si="65"/>
        <v>6.6193853427896077E-2</v>
      </c>
      <c r="S104">
        <f t="shared" si="66"/>
        <v>9.7222222222222265E-2</v>
      </c>
      <c r="T104">
        <f t="shared" si="67"/>
        <v>0.38888888888888895</v>
      </c>
    </row>
    <row r="105" spans="1:29" x14ac:dyDescent="0.25">
      <c r="A105">
        <v>40</v>
      </c>
      <c r="B105">
        <v>0.53846153846153844</v>
      </c>
      <c r="C105">
        <v>0.25</v>
      </c>
      <c r="D105">
        <v>2.47985120892746E-2</v>
      </c>
      <c r="E105">
        <v>0.15942028985507239</v>
      </c>
      <c r="F105">
        <v>0.26984126984126983</v>
      </c>
      <c r="G105">
        <v>0.10526315789473679</v>
      </c>
      <c r="H105">
        <v>0.45454545454545447</v>
      </c>
      <c r="I105">
        <v>0.42857142857142849</v>
      </c>
      <c r="J105">
        <v>0.15942028985507239</v>
      </c>
      <c r="M105">
        <f t="shared" si="60"/>
        <v>0.28846153846153844</v>
      </c>
      <c r="N105">
        <f t="shared" si="61"/>
        <v>0.5136630263722638</v>
      </c>
      <c r="O105">
        <f t="shared" si="62"/>
        <v>0.37904124860646604</v>
      </c>
      <c r="P105">
        <f t="shared" si="63"/>
        <v>0.26862026862026861</v>
      </c>
      <c r="Q105">
        <f t="shared" si="64"/>
        <v>0.43319838056680166</v>
      </c>
      <c r="R105">
        <f t="shared" si="65"/>
        <v>8.3916083916083961E-2</v>
      </c>
      <c r="S105">
        <f t="shared" si="66"/>
        <v>0.10989010989010994</v>
      </c>
      <c r="T105">
        <f t="shared" si="67"/>
        <v>0.37904124860646604</v>
      </c>
    </row>
    <row r="106" spans="1:29" s="10" customFormat="1" x14ac:dyDescent="0.25">
      <c r="A106" s="10" t="s">
        <v>65</v>
      </c>
      <c r="B106" s="10">
        <f>AVERAGE(B99:B105)</f>
        <v>0.52335653109646907</v>
      </c>
      <c r="C106" s="10">
        <f t="shared" ref="C106:J106" si="96">AVERAGE(C99:C105)</f>
        <v>0.17931132352690446</v>
      </c>
      <c r="D106" s="10">
        <f t="shared" si="96"/>
        <v>0.14569019790996482</v>
      </c>
      <c r="E106" s="10">
        <f t="shared" si="96"/>
        <v>0.11374077899086067</v>
      </c>
      <c r="F106" s="10">
        <f t="shared" si="96"/>
        <v>0.24317142484844348</v>
      </c>
      <c r="G106" s="10">
        <f t="shared" si="96"/>
        <v>8.2822561308066978E-2</v>
      </c>
      <c r="H106" s="10">
        <f t="shared" si="96"/>
        <v>0.50664876679129034</v>
      </c>
      <c r="I106" s="10">
        <f t="shared" si="96"/>
        <v>0.42285535795988755</v>
      </c>
      <c r="J106" s="10">
        <f t="shared" si="96"/>
        <v>0.13734098830535571</v>
      </c>
      <c r="M106" s="10">
        <f t="shared" si="60"/>
        <v>0.34404520756956458</v>
      </c>
      <c r="N106" s="10">
        <f t="shared" si="61"/>
        <v>0.37766633318650422</v>
      </c>
      <c r="O106" s="10">
        <f t="shared" si="62"/>
        <v>0.40961575210560841</v>
      </c>
      <c r="P106" s="10">
        <f t="shared" si="63"/>
        <v>0.28018510624802562</v>
      </c>
      <c r="Q106" s="10">
        <f t="shared" si="64"/>
        <v>0.44053396978840209</v>
      </c>
      <c r="R106" s="10">
        <f t="shared" si="65"/>
        <v>1.6707764305178729E-2</v>
      </c>
      <c r="S106" s="10">
        <f t="shared" si="66"/>
        <v>0.10050117313658152</v>
      </c>
      <c r="T106" s="10">
        <f t="shared" si="67"/>
        <v>0.38601554279111339</v>
      </c>
      <c r="V106" s="10">
        <f>M106/C106</f>
        <v>1.9187031850665188</v>
      </c>
      <c r="W106" s="10">
        <f t="shared" ref="W106" si="97">N106/D106</f>
        <v>2.5922562986694442</v>
      </c>
      <c r="X106" s="10">
        <f t="shared" ref="X106" si="98">O106/E106</f>
        <v>3.6013095368242727</v>
      </c>
      <c r="Y106" s="10">
        <f t="shared" ref="Y106" si="99">P106/F106</f>
        <v>1.1522122980636023</v>
      </c>
      <c r="Z106" s="10">
        <f t="shared" ref="Z106" si="100">Q106/G106</f>
        <v>5.3190092509912965</v>
      </c>
      <c r="AA106" s="10">
        <f t="shared" ref="AA106" si="101">R106/H106</f>
        <v>3.2977015637464982E-2</v>
      </c>
      <c r="AB106" s="10">
        <f>S106/I106</f>
        <v>0.23767269645455258</v>
      </c>
      <c r="AC106" s="10">
        <f t="shared" ref="AC106" si="102">T106/J106</f>
        <v>2.810636122210433</v>
      </c>
    </row>
    <row r="107" spans="1:29" x14ac:dyDescent="0.25">
      <c r="A107">
        <v>10</v>
      </c>
      <c r="B107">
        <v>0.42857142857142849</v>
      </c>
      <c r="C107">
        <v>0.1764705882352941</v>
      </c>
      <c r="D107">
        <v>0.1204819277108433</v>
      </c>
      <c r="E107">
        <v>0.1666666666666666</v>
      </c>
      <c r="F107">
        <v>0</v>
      </c>
      <c r="G107">
        <v>0.61538461538461542</v>
      </c>
      <c r="H107">
        <v>0.53846153846153844</v>
      </c>
      <c r="I107">
        <v>0.42857142857142849</v>
      </c>
      <c r="J107">
        <v>0.1764705882352941</v>
      </c>
      <c r="M107">
        <f t="shared" si="60"/>
        <v>0.25210084033613439</v>
      </c>
      <c r="N107">
        <f t="shared" si="61"/>
        <v>0.30808950086058517</v>
      </c>
      <c r="O107">
        <f t="shared" si="62"/>
        <v>0.26190476190476186</v>
      </c>
      <c r="P107">
        <f t="shared" si="63"/>
        <v>0.42857142857142849</v>
      </c>
      <c r="Q107">
        <f t="shared" si="64"/>
        <v>-0.18681318681318693</v>
      </c>
      <c r="R107">
        <f t="shared" si="65"/>
        <v>-0.10989010989010994</v>
      </c>
      <c r="S107">
        <f t="shared" si="66"/>
        <v>0</v>
      </c>
      <c r="T107">
        <f t="shared" si="67"/>
        <v>0.25210084033613439</v>
      </c>
    </row>
    <row r="108" spans="1:29" x14ac:dyDescent="0.25">
      <c r="A108">
        <v>15</v>
      </c>
      <c r="B108">
        <v>0.76470588235294112</v>
      </c>
      <c r="C108">
        <v>0.36363636363636359</v>
      </c>
      <c r="D108">
        <v>0.180722891566265</v>
      </c>
      <c r="E108">
        <v>0.34782608695652167</v>
      </c>
      <c r="F108">
        <v>0</v>
      </c>
      <c r="G108">
        <v>0.72222222222222221</v>
      </c>
      <c r="H108">
        <v>0.66666666666666663</v>
      </c>
      <c r="I108">
        <v>0.66666666666666663</v>
      </c>
      <c r="J108">
        <v>0.42857142857142849</v>
      </c>
      <c r="M108">
        <f t="shared" si="60"/>
        <v>0.40106951871657753</v>
      </c>
      <c r="N108">
        <f t="shared" si="61"/>
        <v>0.58398299078667615</v>
      </c>
      <c r="O108">
        <f t="shared" si="62"/>
        <v>0.41687979539641945</v>
      </c>
      <c r="P108">
        <f t="shared" si="63"/>
        <v>0.76470588235294112</v>
      </c>
      <c r="Q108">
        <f t="shared" si="64"/>
        <v>4.2483660130718914E-2</v>
      </c>
      <c r="R108">
        <f t="shared" si="65"/>
        <v>9.8039215686274495E-2</v>
      </c>
      <c r="S108">
        <f t="shared" si="66"/>
        <v>9.8039215686274495E-2</v>
      </c>
      <c r="T108">
        <f t="shared" si="67"/>
        <v>0.33613445378151263</v>
      </c>
    </row>
    <row r="109" spans="1:29" x14ac:dyDescent="0.25">
      <c r="A109">
        <v>20</v>
      </c>
      <c r="B109">
        <v>0.81818181818181823</v>
      </c>
      <c r="C109">
        <v>0.4814814814814814</v>
      </c>
      <c r="D109">
        <v>0.24096385542168669</v>
      </c>
      <c r="E109">
        <v>0.4642857142857143</v>
      </c>
      <c r="F109">
        <v>5.1282051282051197E-2</v>
      </c>
      <c r="G109">
        <v>0.64</v>
      </c>
      <c r="H109">
        <v>0.6</v>
      </c>
      <c r="I109">
        <v>0.6</v>
      </c>
      <c r="J109">
        <v>0.53846153846153844</v>
      </c>
      <c r="K109">
        <f>MIN(C107:J113)</f>
        <v>0</v>
      </c>
      <c r="M109">
        <f t="shared" si="60"/>
        <v>0.33670033670033683</v>
      </c>
      <c r="N109">
        <f t="shared" si="61"/>
        <v>0.57721796276013149</v>
      </c>
      <c r="O109">
        <f t="shared" si="62"/>
        <v>0.35389610389610393</v>
      </c>
      <c r="P109">
        <f t="shared" si="63"/>
        <v>0.76689976689976702</v>
      </c>
      <c r="Q109">
        <f t="shared" si="64"/>
        <v>0.17818181818181822</v>
      </c>
      <c r="R109">
        <f t="shared" si="65"/>
        <v>0.21818181818181825</v>
      </c>
      <c r="S109">
        <f t="shared" si="66"/>
        <v>0.21818181818181825</v>
      </c>
      <c r="T109">
        <f t="shared" si="67"/>
        <v>0.2797202797202798</v>
      </c>
    </row>
    <row r="110" spans="1:29" x14ac:dyDescent="0.25">
      <c r="A110">
        <v>25</v>
      </c>
      <c r="B110">
        <v>0.85185185185185186</v>
      </c>
      <c r="C110">
        <v>0.66666666666666663</v>
      </c>
      <c r="D110">
        <v>0.3012048192771084</v>
      </c>
      <c r="E110">
        <v>0.59375</v>
      </c>
      <c r="F110">
        <v>0.15909090909090909</v>
      </c>
      <c r="G110">
        <v>0.64516129032258063</v>
      </c>
      <c r="H110">
        <v>0.61290322580645162</v>
      </c>
      <c r="I110">
        <v>0.51515151515151514</v>
      </c>
      <c r="J110">
        <v>0.66666666666666663</v>
      </c>
      <c r="K110">
        <f>MAX(C107:J113)</f>
        <v>0.81818181818181823</v>
      </c>
      <c r="M110">
        <f t="shared" si="60"/>
        <v>0.18518518518518523</v>
      </c>
      <c r="N110">
        <f t="shared" si="61"/>
        <v>0.55064703257474346</v>
      </c>
      <c r="O110">
        <f t="shared" si="62"/>
        <v>0.25810185185185186</v>
      </c>
      <c r="P110">
        <f t="shared" si="63"/>
        <v>0.6927609427609428</v>
      </c>
      <c r="Q110">
        <f t="shared" si="64"/>
        <v>0.20669056152927123</v>
      </c>
      <c r="R110">
        <f t="shared" si="65"/>
        <v>0.23894862604540024</v>
      </c>
      <c r="S110">
        <f t="shared" si="66"/>
        <v>0.33670033670033672</v>
      </c>
      <c r="T110">
        <f t="shared" si="67"/>
        <v>0.18518518518518523</v>
      </c>
    </row>
    <row r="111" spans="1:29" x14ac:dyDescent="0.25">
      <c r="A111">
        <v>30</v>
      </c>
      <c r="B111">
        <v>0.76470588235294112</v>
      </c>
      <c r="C111">
        <v>0.66666666666666663</v>
      </c>
      <c r="D111">
        <v>0.36144578313253012</v>
      </c>
      <c r="E111">
        <v>0.69444444444444442</v>
      </c>
      <c r="F111">
        <v>0.2978723404255319</v>
      </c>
      <c r="G111">
        <v>0.64864864864864868</v>
      </c>
      <c r="H111">
        <v>0.6216216216216216</v>
      </c>
      <c r="I111">
        <v>0.5</v>
      </c>
      <c r="J111">
        <v>0.7142857142857143</v>
      </c>
      <c r="M111">
        <f t="shared" si="60"/>
        <v>9.8039215686274495E-2</v>
      </c>
      <c r="N111">
        <f t="shared" si="61"/>
        <v>0.40326009922041101</v>
      </c>
      <c r="O111">
        <f t="shared" si="62"/>
        <v>7.0261437908496704E-2</v>
      </c>
      <c r="P111">
        <f t="shared" si="63"/>
        <v>0.46683354192740922</v>
      </c>
      <c r="Q111">
        <f t="shared" si="64"/>
        <v>0.11605723370429244</v>
      </c>
      <c r="R111">
        <f t="shared" si="65"/>
        <v>0.14308426073131952</v>
      </c>
      <c r="S111">
        <f t="shared" si="66"/>
        <v>0.26470588235294112</v>
      </c>
      <c r="T111">
        <f t="shared" si="67"/>
        <v>5.0420168067226823E-2</v>
      </c>
    </row>
    <row r="112" spans="1:29" x14ac:dyDescent="0.25">
      <c r="A112">
        <v>35</v>
      </c>
      <c r="B112">
        <v>0.70731707317073167</v>
      </c>
      <c r="C112">
        <v>0.79487179487179482</v>
      </c>
      <c r="D112">
        <v>0.42168674698795178</v>
      </c>
      <c r="E112">
        <v>0.8</v>
      </c>
      <c r="F112">
        <v>0.42</v>
      </c>
      <c r="G112">
        <v>0.61363636363636365</v>
      </c>
      <c r="H112">
        <v>0.62790697674418605</v>
      </c>
      <c r="I112">
        <v>0.54347826086956519</v>
      </c>
      <c r="J112">
        <v>0.79487179487179482</v>
      </c>
      <c r="M112">
        <f t="shared" si="60"/>
        <v>-8.7554721701063154E-2</v>
      </c>
      <c r="N112">
        <f t="shared" si="61"/>
        <v>0.28563032618277989</v>
      </c>
      <c r="O112">
        <f t="shared" si="62"/>
        <v>-9.2682926829268375E-2</v>
      </c>
      <c r="P112">
        <f t="shared" si="63"/>
        <v>0.28731707317073168</v>
      </c>
      <c r="Q112">
        <f t="shared" si="64"/>
        <v>9.3680709534368023E-2</v>
      </c>
      <c r="R112">
        <f t="shared" si="65"/>
        <v>7.9410096426545618E-2</v>
      </c>
      <c r="S112">
        <f t="shared" si="66"/>
        <v>0.16383881230116648</v>
      </c>
      <c r="T112">
        <f t="shared" si="67"/>
        <v>-8.7554721701063154E-2</v>
      </c>
    </row>
    <row r="113" spans="1:29" x14ac:dyDescent="0.25">
      <c r="A113">
        <v>40</v>
      </c>
      <c r="B113">
        <v>0.81818181818181823</v>
      </c>
      <c r="C113">
        <v>0.81818181818181823</v>
      </c>
      <c r="D113">
        <v>0.48192771084337349</v>
      </c>
      <c r="E113">
        <v>0.72916666666666663</v>
      </c>
      <c r="F113">
        <v>0.4464285714285714</v>
      </c>
      <c r="G113">
        <v>0.65306122448979587</v>
      </c>
      <c r="H113">
        <v>0.63265306122448983</v>
      </c>
      <c r="I113">
        <v>0.65306122448979587</v>
      </c>
      <c r="J113">
        <v>0.81818181818181823</v>
      </c>
      <c r="M113">
        <f t="shared" si="60"/>
        <v>0</v>
      </c>
      <c r="N113">
        <f t="shared" si="61"/>
        <v>0.33625410733844474</v>
      </c>
      <c r="O113">
        <f t="shared" si="62"/>
        <v>8.9015151515151603E-2</v>
      </c>
      <c r="P113">
        <f t="shared" si="63"/>
        <v>0.37175324675324684</v>
      </c>
      <c r="Q113">
        <f t="shared" si="64"/>
        <v>0.16512059369202237</v>
      </c>
      <c r="R113">
        <f t="shared" si="65"/>
        <v>0.1855287569573284</v>
      </c>
      <c r="S113">
        <f t="shared" si="66"/>
        <v>0.16512059369202237</v>
      </c>
      <c r="T113">
        <f t="shared" si="67"/>
        <v>0</v>
      </c>
    </row>
    <row r="114" spans="1:29" s="10" customFormat="1" x14ac:dyDescent="0.25">
      <c r="A114" s="10" t="s">
        <v>66</v>
      </c>
      <c r="B114" s="10">
        <f>AVERAGE(B107:B113)</f>
        <v>0.73621653638050433</v>
      </c>
      <c r="C114" s="10">
        <f t="shared" ref="C114:J114" si="103">AVERAGE(C107:C113)</f>
        <v>0.56685362567715503</v>
      </c>
      <c r="D114" s="10">
        <f t="shared" si="103"/>
        <v>0.30120481927710835</v>
      </c>
      <c r="E114" s="10">
        <f t="shared" si="103"/>
        <v>0.54230565414571619</v>
      </c>
      <c r="F114" s="10">
        <f t="shared" si="103"/>
        <v>0.19638198174672336</v>
      </c>
      <c r="G114" s="10">
        <f t="shared" si="103"/>
        <v>0.64830205210060388</v>
      </c>
      <c r="H114" s="10">
        <f t="shared" si="103"/>
        <v>0.61431615578927912</v>
      </c>
      <c r="I114" s="10">
        <f t="shared" si="103"/>
        <v>0.55813272796413871</v>
      </c>
      <c r="J114" s="10">
        <f t="shared" si="103"/>
        <v>0.59107279275346503</v>
      </c>
      <c r="M114" s="10">
        <f t="shared" si="60"/>
        <v>0.1693629107033493</v>
      </c>
      <c r="N114" s="10">
        <f t="shared" si="61"/>
        <v>0.43501171710339598</v>
      </c>
      <c r="O114" s="10">
        <f t="shared" si="62"/>
        <v>0.19391088223478814</v>
      </c>
      <c r="P114" s="10">
        <f t="shared" si="63"/>
        <v>0.53983455463378094</v>
      </c>
      <c r="Q114" s="10">
        <f t="shared" si="64"/>
        <v>8.7914484279900451E-2</v>
      </c>
      <c r="R114" s="10">
        <f t="shared" si="65"/>
        <v>0.12190038059122521</v>
      </c>
      <c r="S114" s="10">
        <f t="shared" si="66"/>
        <v>0.17808380841636562</v>
      </c>
      <c r="T114" s="10">
        <f t="shared" si="67"/>
        <v>0.1451437436270393</v>
      </c>
      <c r="V114" s="10">
        <f>M114/C114</f>
        <v>0.29877714992301735</v>
      </c>
      <c r="W114" s="10">
        <f t="shared" ref="W114" si="104">N114/D114</f>
        <v>1.444238900783275</v>
      </c>
      <c r="X114" s="10">
        <f t="shared" ref="X114" si="105">O114/E114</f>
        <v>0.35756750967358486</v>
      </c>
      <c r="Y114" s="10">
        <f t="shared" ref="Y114" si="106">P114/F114</f>
        <v>2.7489006365666135</v>
      </c>
      <c r="Z114" s="10">
        <f t="shared" ref="Z114" si="107">Q114/G114</f>
        <v>0.13560728983510581</v>
      </c>
      <c r="AA114" s="10">
        <f t="shared" ref="AA114" si="108">R114/H114</f>
        <v>0.1984326465166889</v>
      </c>
      <c r="AB114" s="10">
        <f>S114/I114</f>
        <v>0.31907071471323556</v>
      </c>
      <c r="AC114" s="10">
        <f t="shared" ref="AC114" si="109">T114/J114</f>
        <v>0.24555984543104895</v>
      </c>
    </row>
    <row r="115" spans="1:29" x14ac:dyDescent="0.25">
      <c r="A115">
        <v>10</v>
      </c>
      <c r="B115">
        <v>0.66666666666666663</v>
      </c>
      <c r="C115">
        <v>0.33333333333333331</v>
      </c>
      <c r="D115">
        <v>0.1111111111111111</v>
      </c>
      <c r="E115">
        <v>0.31578947368421051</v>
      </c>
      <c r="F115">
        <v>0</v>
      </c>
      <c r="G115">
        <v>0.53846153846153844</v>
      </c>
      <c r="H115">
        <v>0.53846153846153844</v>
      </c>
      <c r="I115">
        <v>0.53846153846153844</v>
      </c>
      <c r="J115">
        <v>0.33333333333333331</v>
      </c>
      <c r="M115">
        <f t="shared" si="60"/>
        <v>0.33333333333333331</v>
      </c>
      <c r="N115">
        <f t="shared" si="61"/>
        <v>0.55555555555555558</v>
      </c>
      <c r="O115">
        <f t="shared" si="62"/>
        <v>0.35087719298245612</v>
      </c>
      <c r="P115">
        <f t="shared" si="63"/>
        <v>0.66666666666666663</v>
      </c>
      <c r="Q115">
        <f t="shared" si="64"/>
        <v>0.12820512820512819</v>
      </c>
      <c r="R115">
        <f t="shared" si="65"/>
        <v>0.12820512820512819</v>
      </c>
      <c r="S115">
        <f t="shared" si="66"/>
        <v>0.12820512820512819</v>
      </c>
      <c r="T115">
        <f t="shared" si="67"/>
        <v>0.33333333333333331</v>
      </c>
    </row>
    <row r="116" spans="1:29" x14ac:dyDescent="0.25">
      <c r="A116">
        <v>15</v>
      </c>
      <c r="B116">
        <v>0.875</v>
      </c>
      <c r="C116">
        <v>0.42857142857142849</v>
      </c>
      <c r="D116">
        <v>0.1666666666666666</v>
      </c>
      <c r="E116">
        <v>0.29032258064516131</v>
      </c>
      <c r="F116">
        <v>0</v>
      </c>
      <c r="G116">
        <v>0.72222222222222221</v>
      </c>
      <c r="H116">
        <v>0.76470588235294112</v>
      </c>
      <c r="I116">
        <v>0.66666666666666663</v>
      </c>
      <c r="J116">
        <v>0.42857142857142849</v>
      </c>
      <c r="M116">
        <f t="shared" si="60"/>
        <v>0.44642857142857151</v>
      </c>
      <c r="N116">
        <f t="shared" si="61"/>
        <v>0.70833333333333337</v>
      </c>
      <c r="O116">
        <f t="shared" si="62"/>
        <v>0.58467741935483875</v>
      </c>
      <c r="P116">
        <f t="shared" si="63"/>
        <v>0.875</v>
      </c>
      <c r="Q116">
        <f t="shared" si="64"/>
        <v>0.15277777777777779</v>
      </c>
      <c r="R116">
        <f t="shared" si="65"/>
        <v>0.11029411764705888</v>
      </c>
      <c r="S116">
        <f t="shared" si="66"/>
        <v>0.20833333333333337</v>
      </c>
      <c r="T116">
        <f t="shared" si="67"/>
        <v>0.44642857142857151</v>
      </c>
    </row>
    <row r="117" spans="1:29" x14ac:dyDescent="0.25">
      <c r="A117">
        <v>20</v>
      </c>
      <c r="B117">
        <v>0.81818181818181823</v>
      </c>
      <c r="C117">
        <v>0.33333333333333331</v>
      </c>
      <c r="D117">
        <v>0.22222222222222221</v>
      </c>
      <c r="E117">
        <v>0.25</v>
      </c>
      <c r="F117">
        <v>2.5641025641025599E-2</v>
      </c>
      <c r="G117">
        <v>0.51851851851851849</v>
      </c>
      <c r="H117">
        <v>0.66666666666666663</v>
      </c>
      <c r="I117">
        <v>0.53846153846153844</v>
      </c>
      <c r="J117">
        <v>0.33333333333333331</v>
      </c>
      <c r="M117">
        <f t="shared" si="60"/>
        <v>0.48484848484848492</v>
      </c>
      <c r="N117">
        <f t="shared" si="61"/>
        <v>0.59595959595959602</v>
      </c>
      <c r="O117">
        <f t="shared" si="62"/>
        <v>0.56818181818181823</v>
      </c>
      <c r="P117">
        <f t="shared" si="63"/>
        <v>0.79254079254079268</v>
      </c>
      <c r="Q117">
        <f t="shared" si="64"/>
        <v>0.29966329966329974</v>
      </c>
      <c r="R117">
        <f t="shared" si="65"/>
        <v>0.1515151515151516</v>
      </c>
      <c r="S117">
        <f t="shared" si="66"/>
        <v>0.2797202797202798</v>
      </c>
      <c r="T117">
        <f t="shared" si="67"/>
        <v>0.48484848484848492</v>
      </c>
    </row>
    <row r="118" spans="1:29" x14ac:dyDescent="0.25">
      <c r="A118">
        <v>25</v>
      </c>
      <c r="B118">
        <v>0.85185185185185186</v>
      </c>
      <c r="C118">
        <v>0.42857142857142849</v>
      </c>
      <c r="D118">
        <v>0.27777777777777779</v>
      </c>
      <c r="E118">
        <v>0.39583333333333331</v>
      </c>
      <c r="F118">
        <v>0.1111111111111111</v>
      </c>
      <c r="G118">
        <v>0.67741935483870963</v>
      </c>
      <c r="H118">
        <v>0.66666666666666663</v>
      </c>
      <c r="I118">
        <v>0.61290322580645162</v>
      </c>
      <c r="J118">
        <v>0.42857142857142849</v>
      </c>
      <c r="M118">
        <f t="shared" si="60"/>
        <v>0.42328042328042337</v>
      </c>
      <c r="N118">
        <f t="shared" si="61"/>
        <v>0.57407407407407407</v>
      </c>
      <c r="O118">
        <f t="shared" si="62"/>
        <v>0.45601851851851855</v>
      </c>
      <c r="P118">
        <f t="shared" si="63"/>
        <v>0.7407407407407407</v>
      </c>
      <c r="Q118">
        <f t="shared" si="64"/>
        <v>0.17443249701314223</v>
      </c>
      <c r="R118">
        <f t="shared" si="65"/>
        <v>0.18518518518518523</v>
      </c>
      <c r="S118">
        <f t="shared" si="66"/>
        <v>0.23894862604540024</v>
      </c>
      <c r="T118">
        <f t="shared" si="67"/>
        <v>0.42328042328042337</v>
      </c>
    </row>
    <row r="119" spans="1:29" x14ac:dyDescent="0.25">
      <c r="A119">
        <v>30</v>
      </c>
      <c r="B119">
        <v>0.72222222222222221</v>
      </c>
      <c r="C119">
        <v>0.52500000000000002</v>
      </c>
      <c r="D119">
        <v>0.34444444444444439</v>
      </c>
      <c r="E119">
        <v>0.49090909090909091</v>
      </c>
      <c r="F119">
        <v>0.24489795918367341</v>
      </c>
      <c r="G119">
        <v>0.61538461538461542</v>
      </c>
      <c r="H119">
        <v>0.5641025641025641</v>
      </c>
      <c r="I119">
        <v>0.64864864864864868</v>
      </c>
      <c r="J119">
        <v>0.52500000000000002</v>
      </c>
      <c r="M119">
        <f t="shared" si="60"/>
        <v>0.19722222222222219</v>
      </c>
      <c r="N119">
        <f t="shared" si="61"/>
        <v>0.37777777777777782</v>
      </c>
      <c r="O119">
        <f t="shared" si="62"/>
        <v>0.2313131313131313</v>
      </c>
      <c r="P119">
        <f t="shared" si="63"/>
        <v>0.4773242630385488</v>
      </c>
      <c r="Q119">
        <f t="shared" si="64"/>
        <v>0.10683760683760679</v>
      </c>
      <c r="R119">
        <f t="shared" si="65"/>
        <v>0.15811965811965811</v>
      </c>
      <c r="S119">
        <f t="shared" si="66"/>
        <v>7.3573573573573525E-2</v>
      </c>
      <c r="T119">
        <f t="shared" si="67"/>
        <v>0.19722222222222219</v>
      </c>
    </row>
    <row r="120" spans="1:29" x14ac:dyDescent="0.25">
      <c r="A120">
        <v>35</v>
      </c>
      <c r="B120">
        <v>0.73809523809523814</v>
      </c>
      <c r="C120">
        <v>0.63636363636363635</v>
      </c>
      <c r="D120">
        <v>0.41111111111111109</v>
      </c>
      <c r="E120">
        <v>0.63793103448275867</v>
      </c>
      <c r="F120">
        <v>0.44</v>
      </c>
      <c r="G120">
        <v>0.53061224489795922</v>
      </c>
      <c r="H120">
        <v>0.53191489361702127</v>
      </c>
      <c r="I120">
        <v>0.7142857142857143</v>
      </c>
      <c r="J120">
        <v>0.63636363636363635</v>
      </c>
      <c r="M120">
        <f t="shared" si="60"/>
        <v>0.10173160173160178</v>
      </c>
      <c r="N120">
        <f t="shared" si="61"/>
        <v>0.32698412698412704</v>
      </c>
      <c r="O120">
        <f t="shared" si="62"/>
        <v>0.10016420361247946</v>
      </c>
      <c r="P120">
        <f t="shared" si="63"/>
        <v>0.29809523809523814</v>
      </c>
      <c r="Q120">
        <f t="shared" si="64"/>
        <v>0.20748299319727892</v>
      </c>
      <c r="R120">
        <f t="shared" si="65"/>
        <v>0.20618034447821687</v>
      </c>
      <c r="S120">
        <f t="shared" si="66"/>
        <v>2.3809523809523836E-2</v>
      </c>
      <c r="T120">
        <f t="shared" si="67"/>
        <v>0.10173160173160178</v>
      </c>
    </row>
    <row r="121" spans="1:29" x14ac:dyDescent="0.25">
      <c r="A121">
        <v>40</v>
      </c>
      <c r="B121">
        <v>0.75</v>
      </c>
      <c r="C121">
        <v>0.69387755102040816</v>
      </c>
      <c r="D121">
        <v>0.4777777777777778</v>
      </c>
      <c r="E121">
        <v>0.4777777777777778</v>
      </c>
      <c r="F121">
        <v>0.56603773584905659</v>
      </c>
      <c r="G121">
        <v>0.6</v>
      </c>
      <c r="H121">
        <v>0.56603773584905659</v>
      </c>
      <c r="I121">
        <v>0.66</v>
      </c>
      <c r="J121">
        <v>0.69387755102040816</v>
      </c>
      <c r="M121">
        <f t="shared" si="60"/>
        <v>5.6122448979591844E-2</v>
      </c>
      <c r="N121">
        <f t="shared" si="61"/>
        <v>0.2722222222222222</v>
      </c>
      <c r="O121">
        <f t="shared" si="62"/>
        <v>0.2722222222222222</v>
      </c>
      <c r="P121">
        <f t="shared" si="63"/>
        <v>0.18396226415094341</v>
      </c>
      <c r="Q121">
        <f t="shared" si="64"/>
        <v>0.15000000000000002</v>
      </c>
      <c r="R121">
        <f t="shared" si="65"/>
        <v>0.18396226415094341</v>
      </c>
      <c r="S121">
        <f t="shared" si="66"/>
        <v>8.9999999999999969E-2</v>
      </c>
      <c r="T121">
        <f t="shared" si="67"/>
        <v>5.6122448979591844E-2</v>
      </c>
    </row>
    <row r="122" spans="1:29" s="10" customFormat="1" x14ac:dyDescent="0.25">
      <c r="A122" s="10" t="s">
        <v>67</v>
      </c>
      <c r="B122" s="10">
        <f>AVERAGE(B115:B121)</f>
        <v>0.77457397100254244</v>
      </c>
      <c r="C122" s="10">
        <f t="shared" ref="C122:J122" si="110">AVERAGE(C115:C121)</f>
        <v>0.48272153017050973</v>
      </c>
      <c r="D122" s="10">
        <f t="shared" si="110"/>
        <v>0.28730158730158728</v>
      </c>
      <c r="E122" s="10">
        <f t="shared" si="110"/>
        <v>0.40836618440461897</v>
      </c>
      <c r="F122" s="10">
        <f t="shared" si="110"/>
        <v>0.19824111882640955</v>
      </c>
      <c r="G122" s="10">
        <f t="shared" si="110"/>
        <v>0.60037407061765191</v>
      </c>
      <c r="H122" s="10">
        <f t="shared" si="110"/>
        <v>0.61407942110235059</v>
      </c>
      <c r="I122" s="10">
        <f t="shared" si="110"/>
        <v>0.62563247604722261</v>
      </c>
      <c r="J122" s="10">
        <f t="shared" si="110"/>
        <v>0.48272153017050973</v>
      </c>
      <c r="M122" s="10">
        <f t="shared" si="60"/>
        <v>0.29185244083203271</v>
      </c>
      <c r="N122" s="10">
        <f t="shared" si="61"/>
        <v>0.48727238370095516</v>
      </c>
      <c r="O122" s="10">
        <f t="shared" si="62"/>
        <v>0.36620778659792347</v>
      </c>
      <c r="P122" s="10">
        <f t="shared" si="63"/>
        <v>0.57633285217613284</v>
      </c>
      <c r="Q122" s="10">
        <f t="shared" si="64"/>
        <v>0.17419990038489053</v>
      </c>
      <c r="R122" s="10">
        <f t="shared" si="65"/>
        <v>0.16049454990019185</v>
      </c>
      <c r="S122" s="10">
        <f t="shared" si="66"/>
        <v>0.14894149495531983</v>
      </c>
      <c r="T122" s="10">
        <f t="shared" si="67"/>
        <v>0.29185244083203271</v>
      </c>
      <c r="V122" s="10">
        <f>M122/C122</f>
        <v>0.60459793605837897</v>
      </c>
      <c r="W122" s="10">
        <f t="shared" ref="W122" si="111">N122/D122</f>
        <v>1.69603094879338</v>
      </c>
      <c r="X122" s="10">
        <f t="shared" ref="X122" si="112">O122/E122</f>
        <v>0.89676324970893295</v>
      </c>
      <c r="Y122" s="10">
        <f t="shared" ref="Y122" si="113">P122/F122</f>
        <v>2.9072316358383778</v>
      </c>
      <c r="Z122" s="10">
        <f t="shared" ref="Z122" si="114">Q122/G122</f>
        <v>0.29015227157574847</v>
      </c>
      <c r="AA122" s="10">
        <f t="shared" ref="AA122" si="115">R122/H122</f>
        <v>0.26135796834240715</v>
      </c>
      <c r="AB122" s="10">
        <f>S122/I122</f>
        <v>0.23806547878770565</v>
      </c>
      <c r="AC122" s="10">
        <f t="shared" ref="AC122" si="116">T122/J122</f>
        <v>0.60459793605837897</v>
      </c>
    </row>
    <row r="123" spans="1:29" x14ac:dyDescent="0.25">
      <c r="A123">
        <v>10</v>
      </c>
      <c r="B123">
        <v>0.53846153846153844</v>
      </c>
      <c r="C123">
        <v>0.33333333333333331</v>
      </c>
      <c r="D123">
        <v>2.0242914979756998E-2</v>
      </c>
      <c r="E123">
        <v>0.25</v>
      </c>
      <c r="F123">
        <v>0.1764705882352941</v>
      </c>
      <c r="G123">
        <v>0.33333333333333331</v>
      </c>
      <c r="H123">
        <v>0.5714285714285714</v>
      </c>
      <c r="I123">
        <v>0.53846153846153844</v>
      </c>
      <c r="J123">
        <v>0.33333333333333331</v>
      </c>
      <c r="M123">
        <f t="shared" si="60"/>
        <v>0.20512820512820512</v>
      </c>
      <c r="N123">
        <f t="shared" si="61"/>
        <v>0.51821862348178138</v>
      </c>
      <c r="O123">
        <f t="shared" si="62"/>
        <v>0.28846153846153844</v>
      </c>
      <c r="P123">
        <f t="shared" si="63"/>
        <v>0.36199095022624433</v>
      </c>
      <c r="Q123">
        <f t="shared" si="64"/>
        <v>0.20512820512820512</v>
      </c>
      <c r="R123">
        <f t="shared" si="65"/>
        <v>-3.2967032967032961E-2</v>
      </c>
      <c r="S123">
        <f t="shared" si="66"/>
        <v>0</v>
      </c>
      <c r="T123">
        <f t="shared" si="67"/>
        <v>0.20512820512820512</v>
      </c>
    </row>
    <row r="124" spans="1:29" x14ac:dyDescent="0.25">
      <c r="A124">
        <v>15</v>
      </c>
      <c r="B124">
        <v>0.57894736842105265</v>
      </c>
      <c r="C124">
        <v>0.25</v>
      </c>
      <c r="D124">
        <v>3.0364372469635598E-2</v>
      </c>
      <c r="E124">
        <v>0.2</v>
      </c>
      <c r="F124">
        <v>0.25</v>
      </c>
      <c r="G124">
        <v>0.45454545454545447</v>
      </c>
      <c r="H124">
        <v>0.6</v>
      </c>
      <c r="I124">
        <v>0.42857142857142849</v>
      </c>
      <c r="J124">
        <v>0.25</v>
      </c>
      <c r="M124">
        <f t="shared" si="60"/>
        <v>0.32894736842105265</v>
      </c>
      <c r="N124">
        <f t="shared" si="61"/>
        <v>0.54858299595141702</v>
      </c>
      <c r="O124">
        <f t="shared" si="62"/>
        <v>0.37894736842105264</v>
      </c>
      <c r="P124">
        <f t="shared" si="63"/>
        <v>0.32894736842105265</v>
      </c>
      <c r="Q124">
        <f t="shared" si="64"/>
        <v>0.12440191387559818</v>
      </c>
      <c r="R124">
        <f t="shared" si="65"/>
        <v>-2.1052631578947323E-2</v>
      </c>
      <c r="S124">
        <f t="shared" si="66"/>
        <v>0.15037593984962416</v>
      </c>
      <c r="T124">
        <f t="shared" si="67"/>
        <v>0.32894736842105265</v>
      </c>
    </row>
    <row r="125" spans="1:29" x14ac:dyDescent="0.25">
      <c r="A125">
        <v>20</v>
      </c>
      <c r="B125">
        <v>0.4814814814814814</v>
      </c>
      <c r="C125">
        <v>0.33333333333333331</v>
      </c>
      <c r="D125">
        <v>4.0485829959514101E-2</v>
      </c>
      <c r="E125">
        <v>0.2424242424242424</v>
      </c>
      <c r="F125">
        <v>0.1764705882352941</v>
      </c>
      <c r="G125">
        <v>0.51724137931034486</v>
      </c>
      <c r="H125">
        <v>0.55555555555555558</v>
      </c>
      <c r="I125">
        <v>0.42857142857142849</v>
      </c>
      <c r="J125">
        <v>0.33333333333333331</v>
      </c>
      <c r="M125">
        <f t="shared" si="60"/>
        <v>0.14814814814814808</v>
      </c>
      <c r="N125">
        <f t="shared" si="61"/>
        <v>0.44099565152196729</v>
      </c>
      <c r="O125">
        <f t="shared" si="62"/>
        <v>0.239057239057239</v>
      </c>
      <c r="P125">
        <f t="shared" si="63"/>
        <v>0.3050108932461873</v>
      </c>
      <c r="Q125">
        <f t="shared" si="64"/>
        <v>-3.5759897828863463E-2</v>
      </c>
      <c r="R125">
        <f t="shared" si="65"/>
        <v>-7.4074074074074181E-2</v>
      </c>
      <c r="S125">
        <f t="shared" si="66"/>
        <v>5.2910052910052907E-2</v>
      </c>
      <c r="T125">
        <f t="shared" si="67"/>
        <v>0.14814814814814808</v>
      </c>
    </row>
    <row r="126" spans="1:29" x14ac:dyDescent="0.25">
      <c r="A126">
        <v>25</v>
      </c>
      <c r="B126">
        <v>0.3888888888888889</v>
      </c>
      <c r="C126">
        <v>0.25</v>
      </c>
      <c r="D126">
        <v>5.0607287449392697E-2</v>
      </c>
      <c r="E126">
        <v>0.21428571428571419</v>
      </c>
      <c r="F126">
        <v>0.16279069767441859</v>
      </c>
      <c r="G126">
        <v>0.63636363636363635</v>
      </c>
      <c r="H126">
        <v>0.65625</v>
      </c>
      <c r="I126">
        <v>0.3888888888888889</v>
      </c>
      <c r="J126">
        <v>0.25</v>
      </c>
      <c r="M126">
        <f t="shared" si="60"/>
        <v>0.1388888888888889</v>
      </c>
      <c r="N126">
        <f t="shared" si="61"/>
        <v>0.3382816014394962</v>
      </c>
      <c r="O126">
        <f t="shared" si="62"/>
        <v>0.1746031746031747</v>
      </c>
      <c r="P126">
        <f t="shared" si="63"/>
        <v>0.22609819121447031</v>
      </c>
      <c r="Q126">
        <f t="shared" si="64"/>
        <v>-0.24747474747474746</v>
      </c>
      <c r="R126">
        <f t="shared" si="65"/>
        <v>-0.2673611111111111</v>
      </c>
      <c r="S126">
        <f t="shared" si="66"/>
        <v>0</v>
      </c>
      <c r="T126">
        <f t="shared" si="67"/>
        <v>0.1388888888888889</v>
      </c>
    </row>
    <row r="127" spans="1:29" x14ac:dyDescent="0.25">
      <c r="A127">
        <v>30</v>
      </c>
      <c r="B127">
        <v>0.5</v>
      </c>
      <c r="C127">
        <v>0.27083333333333331</v>
      </c>
      <c r="D127">
        <v>6.0728744939271197E-2</v>
      </c>
      <c r="E127">
        <v>0.27083333333333331</v>
      </c>
      <c r="F127">
        <v>0.1764705882352941</v>
      </c>
      <c r="G127">
        <v>0.68421052631578949</v>
      </c>
      <c r="H127">
        <v>0.75</v>
      </c>
      <c r="I127">
        <v>0.42857142857142849</v>
      </c>
      <c r="J127">
        <v>0.2978723404255319</v>
      </c>
      <c r="M127">
        <f t="shared" si="60"/>
        <v>0.22916666666666669</v>
      </c>
      <c r="N127">
        <f t="shared" si="61"/>
        <v>0.43927125506072878</v>
      </c>
      <c r="O127">
        <f t="shared" si="62"/>
        <v>0.22916666666666669</v>
      </c>
      <c r="P127">
        <f t="shared" si="63"/>
        <v>0.3235294117647059</v>
      </c>
      <c r="Q127">
        <f t="shared" si="64"/>
        <v>-0.18421052631578949</v>
      </c>
      <c r="R127">
        <f t="shared" si="65"/>
        <v>-0.25</v>
      </c>
      <c r="S127">
        <f t="shared" si="66"/>
        <v>7.1428571428571508E-2</v>
      </c>
      <c r="T127">
        <f t="shared" si="67"/>
        <v>0.2021276595744681</v>
      </c>
    </row>
    <row r="128" spans="1:29" x14ac:dyDescent="0.25">
      <c r="A128">
        <v>35</v>
      </c>
      <c r="B128">
        <v>0.65116279069767447</v>
      </c>
      <c r="C128">
        <v>0.33333333333333331</v>
      </c>
      <c r="D128">
        <v>7.28744939271255E-2</v>
      </c>
      <c r="E128">
        <v>0.33333333333333331</v>
      </c>
      <c r="F128">
        <v>0.2456140350877192</v>
      </c>
      <c r="G128">
        <v>0.5957446808510638</v>
      </c>
      <c r="H128">
        <v>0.76190476190476186</v>
      </c>
      <c r="I128">
        <v>0.47916666666666669</v>
      </c>
      <c r="J128">
        <v>0.35849056603773582</v>
      </c>
      <c r="M128">
        <f t="shared" si="60"/>
        <v>0.31782945736434115</v>
      </c>
      <c r="N128">
        <f t="shared" si="61"/>
        <v>0.57828829677054894</v>
      </c>
      <c r="O128">
        <f t="shared" si="62"/>
        <v>0.31782945736434115</v>
      </c>
      <c r="P128">
        <f t="shared" si="63"/>
        <v>0.40554875560995529</v>
      </c>
      <c r="Q128">
        <f t="shared" si="64"/>
        <v>5.5418109846610664E-2</v>
      </c>
      <c r="R128">
        <f t="shared" si="65"/>
        <v>-0.1107419712070874</v>
      </c>
      <c r="S128">
        <f t="shared" si="66"/>
        <v>0.17199612403100778</v>
      </c>
      <c r="T128">
        <f t="shared" si="67"/>
        <v>0.29267222465993864</v>
      </c>
    </row>
    <row r="129" spans="1:29" x14ac:dyDescent="0.25">
      <c r="A129">
        <v>40</v>
      </c>
      <c r="B129">
        <v>0.65306122448979587</v>
      </c>
      <c r="C129">
        <v>0.34426229508196721</v>
      </c>
      <c r="D129">
        <v>8.2995951417003999E-2</v>
      </c>
      <c r="E129">
        <v>0.34426229508196721</v>
      </c>
      <c r="F129">
        <v>0.265625</v>
      </c>
      <c r="G129">
        <v>0.57407407407407407</v>
      </c>
      <c r="H129">
        <v>0.73469387755102045</v>
      </c>
      <c r="I129">
        <v>0.4464285714285714</v>
      </c>
      <c r="J129">
        <v>0.34426229508196721</v>
      </c>
      <c r="M129">
        <f t="shared" si="60"/>
        <v>0.30879892940782866</v>
      </c>
      <c r="N129">
        <f t="shared" si="61"/>
        <v>0.57006527307279187</v>
      </c>
      <c r="O129">
        <f t="shared" si="62"/>
        <v>0.30879892940782866</v>
      </c>
      <c r="P129">
        <f t="shared" si="63"/>
        <v>0.38743622448979587</v>
      </c>
      <c r="Q129">
        <f t="shared" si="64"/>
        <v>7.8987150415721796E-2</v>
      </c>
      <c r="R129">
        <f t="shared" si="65"/>
        <v>-8.163265306122458E-2</v>
      </c>
      <c r="S129">
        <f t="shared" si="66"/>
        <v>0.20663265306122447</v>
      </c>
      <c r="T129">
        <f t="shared" si="67"/>
        <v>0.30879892940782866</v>
      </c>
    </row>
    <row r="130" spans="1:29" s="10" customFormat="1" x14ac:dyDescent="0.25">
      <c r="A130" s="10" t="s">
        <v>26</v>
      </c>
      <c r="B130" s="10">
        <f>AVERAGE(B123:B129)</f>
        <v>0.54171475606291875</v>
      </c>
      <c r="C130" s="10">
        <f t="shared" ref="C130:J130" si="117">AVERAGE(C123:C129)</f>
        <v>0.30215651834504292</v>
      </c>
      <c r="D130" s="10">
        <f t="shared" si="117"/>
        <v>5.1185656448814294E-2</v>
      </c>
      <c r="E130" s="10">
        <f t="shared" si="117"/>
        <v>0.26501984549408431</v>
      </c>
      <c r="F130" s="10">
        <f t="shared" si="117"/>
        <v>0.20763449963828859</v>
      </c>
      <c r="G130" s="10">
        <f t="shared" si="117"/>
        <v>0.542216154970528</v>
      </c>
      <c r="H130" s="10">
        <f t="shared" si="117"/>
        <v>0.66140468091998705</v>
      </c>
      <c r="I130" s="10">
        <f t="shared" si="117"/>
        <v>0.44837999302285009</v>
      </c>
      <c r="J130" s="10">
        <f t="shared" si="117"/>
        <v>0.30961312403027164</v>
      </c>
      <c r="M130" s="10">
        <f t="shared" si="60"/>
        <v>0.23955823771787582</v>
      </c>
      <c r="N130" s="10">
        <f t="shared" si="61"/>
        <v>0.49052909961410446</v>
      </c>
      <c r="O130" s="10">
        <f t="shared" si="62"/>
        <v>0.27669491056883444</v>
      </c>
      <c r="P130" s="10">
        <f t="shared" si="63"/>
        <v>0.33408025642463013</v>
      </c>
      <c r="Q130" s="10">
        <f t="shared" si="64"/>
        <v>-5.0139890760925176E-4</v>
      </c>
      <c r="R130" s="10">
        <f t="shared" si="65"/>
        <v>-0.11968992485706831</v>
      </c>
      <c r="S130" s="10">
        <f t="shared" si="66"/>
        <v>9.3334763040068658E-2</v>
      </c>
      <c r="T130" s="10">
        <f t="shared" si="67"/>
        <v>0.23210163203264711</v>
      </c>
      <c r="V130" s="10">
        <f>M130/C130</f>
        <v>0.79282829650663378</v>
      </c>
      <c r="W130" s="10">
        <f t="shared" ref="W130" si="118">N130/D130</f>
        <v>9.583331222969349</v>
      </c>
      <c r="X130" s="10">
        <f t="shared" ref="X130" si="119">O130/E130</f>
        <v>1.0440535502274706</v>
      </c>
      <c r="Y130" s="10">
        <f t="shared" ref="Y130" si="120">P130/F130</f>
        <v>1.6089824042084404</v>
      </c>
      <c r="Z130" s="10">
        <f t="shared" ref="Z130" si="121">Q130/G130</f>
        <v>-9.2472144736540566E-4</v>
      </c>
      <c r="AA130" s="10">
        <f t="shared" ref="AA130" si="122">R130/H130</f>
        <v>-0.1809632261606986</v>
      </c>
      <c r="AB130" s="10">
        <f>S130/I130</f>
        <v>0.20815996363002795</v>
      </c>
      <c r="AC130" s="10">
        <f t="shared" ref="AC130" si="123">T130/J130</f>
        <v>0.74965049611383383</v>
      </c>
    </row>
    <row r="131" spans="1:29" x14ac:dyDescent="0.25">
      <c r="A131">
        <v>10</v>
      </c>
      <c r="B131">
        <v>0.25</v>
      </c>
      <c r="C131">
        <v>0.25</v>
      </c>
      <c r="D131">
        <v>1.51057401812688E-2</v>
      </c>
      <c r="E131">
        <v>0.25</v>
      </c>
      <c r="F131">
        <v>0.1111111111111111</v>
      </c>
      <c r="G131">
        <v>0.1764705882352941</v>
      </c>
      <c r="H131">
        <v>5.2631578947368397E-2</v>
      </c>
      <c r="I131">
        <v>0.1764705882352941</v>
      </c>
      <c r="J131">
        <v>0.25</v>
      </c>
      <c r="M131">
        <f t="shared" si="60"/>
        <v>0</v>
      </c>
      <c r="N131">
        <f t="shared" si="61"/>
        <v>0.23489425981873119</v>
      </c>
      <c r="O131">
        <f t="shared" si="62"/>
        <v>0</v>
      </c>
      <c r="P131">
        <f t="shared" si="63"/>
        <v>0.1388888888888889</v>
      </c>
      <c r="Q131">
        <f t="shared" si="64"/>
        <v>7.3529411764705899E-2</v>
      </c>
      <c r="R131">
        <f t="shared" si="65"/>
        <v>0.19736842105263161</v>
      </c>
      <c r="S131">
        <f t="shared" si="66"/>
        <v>7.3529411764705899E-2</v>
      </c>
      <c r="T131">
        <f t="shared" si="67"/>
        <v>0</v>
      </c>
    </row>
    <row r="132" spans="1:29" x14ac:dyDescent="0.25">
      <c r="A132">
        <v>15</v>
      </c>
      <c r="B132">
        <v>0.42857142857142849</v>
      </c>
      <c r="C132">
        <v>0.42857142857142849</v>
      </c>
      <c r="D132">
        <v>2.2658610271903301E-2</v>
      </c>
      <c r="E132">
        <v>0.42857142857142849</v>
      </c>
      <c r="F132">
        <v>0.1111111111111111</v>
      </c>
      <c r="G132">
        <v>0.42857142857142849</v>
      </c>
      <c r="H132">
        <v>7.1428571428571397E-2</v>
      </c>
      <c r="I132">
        <v>0.2</v>
      </c>
      <c r="J132">
        <v>0.42857142857142849</v>
      </c>
      <c r="M132">
        <f t="shared" ref="M132:M195" si="124">B132-C132</f>
        <v>0</v>
      </c>
      <c r="N132">
        <f t="shared" ref="N132:N195" si="125">B132-D132</f>
        <v>0.40591281829952519</v>
      </c>
      <c r="O132">
        <f t="shared" ref="O132:O195" si="126">B132-E132</f>
        <v>0</v>
      </c>
      <c r="P132">
        <f t="shared" ref="P132:P195" si="127">B132-F132</f>
        <v>0.31746031746031739</v>
      </c>
      <c r="Q132">
        <f t="shared" ref="Q132:Q195" si="128">B132-G132</f>
        <v>0</v>
      </c>
      <c r="R132">
        <f t="shared" ref="R132:R195" si="129">B132-H132</f>
        <v>0.3571428571428571</v>
      </c>
      <c r="S132">
        <f t="shared" ref="S132:S195" si="130">B132-I132</f>
        <v>0.22857142857142848</v>
      </c>
      <c r="T132">
        <f t="shared" ref="T132:T195" si="131">B132-J132</f>
        <v>0</v>
      </c>
    </row>
    <row r="133" spans="1:29" x14ac:dyDescent="0.25">
      <c r="A133">
        <v>20</v>
      </c>
      <c r="B133">
        <v>0.4814814814814814</v>
      </c>
      <c r="C133">
        <v>0.33333333333333331</v>
      </c>
      <c r="D133">
        <v>3.02114803625377E-2</v>
      </c>
      <c r="E133">
        <v>0.33333333333333331</v>
      </c>
      <c r="F133">
        <v>0.1111111111111111</v>
      </c>
      <c r="G133">
        <v>0.37931034482758619</v>
      </c>
      <c r="H133">
        <v>8.1081081081081002E-2</v>
      </c>
      <c r="I133">
        <v>0.29032258064516131</v>
      </c>
      <c r="J133">
        <v>0.33333333333333331</v>
      </c>
      <c r="M133">
        <f t="shared" si="124"/>
        <v>0.14814814814814808</v>
      </c>
      <c r="N133">
        <f t="shared" si="125"/>
        <v>0.45127000111894372</v>
      </c>
      <c r="O133">
        <f t="shared" si="126"/>
        <v>0.14814814814814808</v>
      </c>
      <c r="P133">
        <f t="shared" si="127"/>
        <v>0.37037037037037029</v>
      </c>
      <c r="Q133">
        <f t="shared" si="128"/>
        <v>0.10217113665389521</v>
      </c>
      <c r="R133">
        <f t="shared" si="129"/>
        <v>0.40040040040040037</v>
      </c>
      <c r="S133">
        <f t="shared" si="130"/>
        <v>0.19115890083632009</v>
      </c>
      <c r="T133">
        <f t="shared" si="131"/>
        <v>0.14814814814814808</v>
      </c>
    </row>
    <row r="134" spans="1:29" x14ac:dyDescent="0.25">
      <c r="A134">
        <v>25</v>
      </c>
      <c r="B134">
        <v>0.42857142857142849</v>
      </c>
      <c r="C134">
        <v>0.35135135135135132</v>
      </c>
      <c r="D134">
        <v>3.7764350453172203E-2</v>
      </c>
      <c r="E134">
        <v>0.35135135135135132</v>
      </c>
      <c r="F134">
        <v>0.1111111111111111</v>
      </c>
      <c r="G134">
        <v>0.35135135135135132</v>
      </c>
      <c r="H134">
        <v>0.16279069767441859</v>
      </c>
      <c r="I134">
        <v>0.31578947368421051</v>
      </c>
      <c r="J134">
        <v>0.35135135135135132</v>
      </c>
      <c r="M134">
        <f t="shared" si="124"/>
        <v>7.7220077220077177E-2</v>
      </c>
      <c r="N134">
        <f t="shared" si="125"/>
        <v>0.39080707811825627</v>
      </c>
      <c r="O134">
        <f t="shared" si="126"/>
        <v>7.7220077220077177E-2</v>
      </c>
      <c r="P134">
        <f t="shared" si="127"/>
        <v>0.31746031746031739</v>
      </c>
      <c r="Q134">
        <f t="shared" si="128"/>
        <v>7.7220077220077177E-2</v>
      </c>
      <c r="R134">
        <f t="shared" si="129"/>
        <v>0.26578073089700993</v>
      </c>
      <c r="S134">
        <f t="shared" si="130"/>
        <v>0.11278195488721798</v>
      </c>
      <c r="T134">
        <f t="shared" si="131"/>
        <v>7.7220077220077177E-2</v>
      </c>
    </row>
    <row r="135" spans="1:29" x14ac:dyDescent="0.25">
      <c r="A135">
        <v>30</v>
      </c>
      <c r="B135">
        <v>0.60526315789473684</v>
      </c>
      <c r="C135">
        <v>0.35555555555555551</v>
      </c>
      <c r="D135">
        <v>4.6827794561933499E-2</v>
      </c>
      <c r="E135">
        <v>0.32608695652173908</v>
      </c>
      <c r="F135">
        <v>0.109090909090909</v>
      </c>
      <c r="G135">
        <v>0.32608695652173908</v>
      </c>
      <c r="H135">
        <v>0.19607843137254899</v>
      </c>
      <c r="I135">
        <v>0.45238095238095238</v>
      </c>
      <c r="J135">
        <v>0.32608695652173908</v>
      </c>
      <c r="M135">
        <f t="shared" si="124"/>
        <v>0.24970760233918132</v>
      </c>
      <c r="N135">
        <f t="shared" si="125"/>
        <v>0.5584353633328033</v>
      </c>
      <c r="O135">
        <f t="shared" si="126"/>
        <v>0.27917620137299776</v>
      </c>
      <c r="P135">
        <f t="shared" si="127"/>
        <v>0.49617224880382782</v>
      </c>
      <c r="Q135">
        <f t="shared" si="128"/>
        <v>0.27917620137299776</v>
      </c>
      <c r="R135">
        <f t="shared" si="129"/>
        <v>0.40918472652218785</v>
      </c>
      <c r="S135">
        <f t="shared" si="130"/>
        <v>0.15288220551378445</v>
      </c>
      <c r="T135">
        <f t="shared" si="131"/>
        <v>0.27917620137299776</v>
      </c>
    </row>
    <row r="136" spans="1:29" x14ac:dyDescent="0.25">
      <c r="A136">
        <v>35</v>
      </c>
      <c r="B136">
        <v>0.65116279069767447</v>
      </c>
      <c r="C136">
        <v>0.33962264150943389</v>
      </c>
      <c r="D136">
        <v>5.4380664652567898E-2</v>
      </c>
      <c r="E136">
        <v>0.33962264150943389</v>
      </c>
      <c r="F136">
        <v>0.109375</v>
      </c>
      <c r="G136">
        <v>0.26315789473684209</v>
      </c>
      <c r="H136">
        <v>0.22413793103448271</v>
      </c>
      <c r="I136">
        <v>0.47916666666666669</v>
      </c>
      <c r="J136">
        <v>0.39215686274509798</v>
      </c>
      <c r="M136">
        <f t="shared" si="124"/>
        <v>0.31154014918824058</v>
      </c>
      <c r="N136">
        <f t="shared" si="125"/>
        <v>0.59678212604510661</v>
      </c>
      <c r="O136">
        <f t="shared" si="126"/>
        <v>0.31154014918824058</v>
      </c>
      <c r="P136">
        <f t="shared" si="127"/>
        <v>0.54178779069767447</v>
      </c>
      <c r="Q136">
        <f t="shared" si="128"/>
        <v>0.38800489596083237</v>
      </c>
      <c r="R136">
        <f t="shared" si="129"/>
        <v>0.42702485966319176</v>
      </c>
      <c r="S136">
        <f t="shared" si="130"/>
        <v>0.17199612403100778</v>
      </c>
      <c r="T136">
        <f t="shared" si="131"/>
        <v>0.25900592795257649</v>
      </c>
    </row>
    <row r="137" spans="1:29" x14ac:dyDescent="0.25">
      <c r="A137">
        <v>40</v>
      </c>
      <c r="B137">
        <v>0.65306122448979587</v>
      </c>
      <c r="C137">
        <v>0.3728813559322034</v>
      </c>
      <c r="D137">
        <v>6.1933534743202401E-2</v>
      </c>
      <c r="E137">
        <v>0.35</v>
      </c>
      <c r="F137">
        <v>0.1095890410958904</v>
      </c>
      <c r="G137">
        <v>0.33870967741935482</v>
      </c>
      <c r="H137">
        <v>0.24615384615384611</v>
      </c>
      <c r="I137">
        <v>0.47272727272727272</v>
      </c>
      <c r="J137">
        <v>0.3728813559322034</v>
      </c>
      <c r="M137">
        <f t="shared" si="124"/>
        <v>0.28017986855759247</v>
      </c>
      <c r="N137">
        <f t="shared" si="125"/>
        <v>0.59112768974659347</v>
      </c>
      <c r="O137">
        <f t="shared" si="126"/>
        <v>0.30306122448979589</v>
      </c>
      <c r="P137">
        <f t="shared" si="127"/>
        <v>0.54347218339390546</v>
      </c>
      <c r="Q137">
        <f t="shared" si="128"/>
        <v>0.31435154707044105</v>
      </c>
      <c r="R137">
        <f t="shared" si="129"/>
        <v>0.40690737833594975</v>
      </c>
      <c r="S137">
        <f t="shared" si="130"/>
        <v>0.18033395176252315</v>
      </c>
      <c r="T137">
        <f t="shared" si="131"/>
        <v>0.28017986855759247</v>
      </c>
    </row>
    <row r="138" spans="1:29" s="10" customFormat="1" x14ac:dyDescent="0.25">
      <c r="A138" s="10" t="s">
        <v>25</v>
      </c>
      <c r="B138" s="10">
        <f>AVERAGE(B131:B137)</f>
        <v>0.49973021595807793</v>
      </c>
      <c r="C138" s="10">
        <f t="shared" ref="C138:J138" si="132">AVERAGE(C131:C137)</f>
        <v>0.34733080946475797</v>
      </c>
      <c r="D138" s="10">
        <f t="shared" si="132"/>
        <v>3.8411739318083685E-2</v>
      </c>
      <c r="E138" s="10">
        <f t="shared" si="132"/>
        <v>0.33985224446961232</v>
      </c>
      <c r="F138" s="10">
        <f t="shared" si="132"/>
        <v>0.11035705637589198</v>
      </c>
      <c r="G138" s="10">
        <f t="shared" si="132"/>
        <v>0.3233797488090851</v>
      </c>
      <c r="H138" s="10">
        <f t="shared" si="132"/>
        <v>0.1477574482417596</v>
      </c>
      <c r="I138" s="10">
        <f t="shared" si="132"/>
        <v>0.34097964776279399</v>
      </c>
      <c r="J138" s="10">
        <f t="shared" si="132"/>
        <v>0.35062589835073626</v>
      </c>
      <c r="M138" s="10">
        <f t="shared" si="124"/>
        <v>0.15239940649331996</v>
      </c>
      <c r="N138" s="10">
        <f t="shared" si="125"/>
        <v>0.46131847663999426</v>
      </c>
      <c r="O138" s="10">
        <f t="shared" si="126"/>
        <v>0.15987797148846561</v>
      </c>
      <c r="P138" s="10">
        <f t="shared" si="127"/>
        <v>0.38937315958218593</v>
      </c>
      <c r="Q138" s="10">
        <f t="shared" si="128"/>
        <v>0.17635046714899283</v>
      </c>
      <c r="R138" s="10">
        <f t="shared" si="129"/>
        <v>0.35197276771631836</v>
      </c>
      <c r="S138" s="10">
        <f t="shared" si="130"/>
        <v>0.15875056819528394</v>
      </c>
      <c r="T138" s="10">
        <f t="shared" si="131"/>
        <v>0.14910431760734166</v>
      </c>
      <c r="V138" s="10">
        <f>M138/C138</f>
        <v>0.43877307264555582</v>
      </c>
      <c r="W138" s="10">
        <f t="shared" ref="W138" si="133">N138/D138</f>
        <v>12.009830453650201</v>
      </c>
      <c r="X138" s="10">
        <f t="shared" ref="X138" si="134">O138/E138</f>
        <v>0.47043376670346221</v>
      </c>
      <c r="Y138" s="10">
        <f t="shared" ref="Y138" si="135">P138/F138</f>
        <v>3.5283032401292496</v>
      </c>
      <c r="Z138" s="10">
        <f t="shared" ref="Z138" si="136">Q138/G138</f>
        <v>0.54533553136348534</v>
      </c>
      <c r="AA138" s="10">
        <f t="shared" ref="AA138" si="137">R138/H138</f>
        <v>2.3820983097950044</v>
      </c>
      <c r="AB138" s="10">
        <f>S138/I138</f>
        <v>0.4655719754444711</v>
      </c>
      <c r="AC138" s="10">
        <f t="shared" ref="AC138" si="138">T138/J138</f>
        <v>0.42525186618756383</v>
      </c>
    </row>
    <row r="139" spans="1:29" x14ac:dyDescent="0.25">
      <c r="A139">
        <v>10</v>
      </c>
      <c r="B139">
        <v>0.33333333333333331</v>
      </c>
      <c r="C139">
        <v>0</v>
      </c>
      <c r="D139">
        <v>1.9569471624266099E-2</v>
      </c>
      <c r="E139">
        <v>0</v>
      </c>
      <c r="F139">
        <v>0.1111111111111111</v>
      </c>
      <c r="G139">
        <v>0</v>
      </c>
      <c r="H139">
        <v>0.1111111111111111</v>
      </c>
      <c r="I139">
        <v>0.25</v>
      </c>
      <c r="J139">
        <v>0</v>
      </c>
      <c r="M139">
        <f t="shared" si="124"/>
        <v>0.33333333333333331</v>
      </c>
      <c r="N139">
        <f t="shared" si="125"/>
        <v>0.31376386170906723</v>
      </c>
      <c r="O139">
        <f t="shared" si="126"/>
        <v>0.33333333333333331</v>
      </c>
      <c r="P139">
        <f t="shared" si="127"/>
        <v>0.22222222222222221</v>
      </c>
      <c r="Q139">
        <f t="shared" si="128"/>
        <v>0.33333333333333331</v>
      </c>
      <c r="R139">
        <f t="shared" si="129"/>
        <v>0.22222222222222221</v>
      </c>
      <c r="S139">
        <f t="shared" si="130"/>
        <v>8.3333333333333315E-2</v>
      </c>
      <c r="T139">
        <f t="shared" si="131"/>
        <v>0.33333333333333331</v>
      </c>
    </row>
    <row r="140" spans="1:29" x14ac:dyDescent="0.25">
      <c r="A140">
        <v>15</v>
      </c>
      <c r="B140">
        <v>0.42857142857142849</v>
      </c>
      <c r="C140">
        <v>0</v>
      </c>
      <c r="D140">
        <v>2.18978102189781E-2</v>
      </c>
      <c r="E140">
        <v>0</v>
      </c>
      <c r="F140">
        <v>0.1111111111111111</v>
      </c>
      <c r="G140">
        <v>0</v>
      </c>
      <c r="H140">
        <v>0.1111111111111111</v>
      </c>
      <c r="I140">
        <v>0.30434782608695649</v>
      </c>
      <c r="J140">
        <v>0</v>
      </c>
      <c r="M140">
        <f t="shared" si="124"/>
        <v>0.42857142857142849</v>
      </c>
      <c r="N140">
        <f t="shared" si="125"/>
        <v>0.40667361835245042</v>
      </c>
      <c r="O140">
        <f t="shared" si="126"/>
        <v>0.42857142857142849</v>
      </c>
      <c r="P140">
        <f t="shared" si="127"/>
        <v>0.31746031746031739</v>
      </c>
      <c r="Q140">
        <f t="shared" si="128"/>
        <v>0.42857142857142849</v>
      </c>
      <c r="R140">
        <f t="shared" si="129"/>
        <v>0.31746031746031739</v>
      </c>
      <c r="S140">
        <f t="shared" si="130"/>
        <v>0.12422360248447201</v>
      </c>
      <c r="T140">
        <f t="shared" si="131"/>
        <v>0.42857142857142849</v>
      </c>
    </row>
    <row r="141" spans="1:29" x14ac:dyDescent="0.25">
      <c r="A141">
        <v>20</v>
      </c>
      <c r="B141">
        <v>0.6</v>
      </c>
      <c r="C141">
        <v>2.5641025641025599E-2</v>
      </c>
      <c r="D141">
        <v>2.9197080291970798E-2</v>
      </c>
      <c r="E141">
        <v>0</v>
      </c>
      <c r="F141">
        <v>8.1081081081081002E-2</v>
      </c>
      <c r="G141">
        <v>0</v>
      </c>
      <c r="H141">
        <v>0.1764705882352941</v>
      </c>
      <c r="I141">
        <v>0.4814814814814814</v>
      </c>
      <c r="J141">
        <v>2.5641025641025599E-2</v>
      </c>
      <c r="M141">
        <f t="shared" si="124"/>
        <v>0.57435897435897443</v>
      </c>
      <c r="N141">
        <f t="shared" si="125"/>
        <v>0.57080291970802921</v>
      </c>
      <c r="O141">
        <f t="shared" si="126"/>
        <v>0.6</v>
      </c>
      <c r="P141">
        <f t="shared" si="127"/>
        <v>0.51891891891891895</v>
      </c>
      <c r="Q141">
        <f t="shared" si="128"/>
        <v>0.6</v>
      </c>
      <c r="R141">
        <f t="shared" si="129"/>
        <v>0.42352941176470588</v>
      </c>
      <c r="S141">
        <f t="shared" si="130"/>
        <v>0.11851851851851858</v>
      </c>
      <c r="T141">
        <f t="shared" si="131"/>
        <v>0.57435897435897443</v>
      </c>
    </row>
    <row r="142" spans="1:29" x14ac:dyDescent="0.25">
      <c r="A142">
        <v>25</v>
      </c>
      <c r="B142">
        <v>0.66666666666666663</v>
      </c>
      <c r="C142">
        <v>2.04081632653061E-2</v>
      </c>
      <c r="D142">
        <v>3.6496350364963501E-2</v>
      </c>
      <c r="E142">
        <v>0</v>
      </c>
      <c r="F142">
        <v>0.1111111111111111</v>
      </c>
      <c r="G142">
        <v>0</v>
      </c>
      <c r="H142">
        <v>0.25</v>
      </c>
      <c r="I142">
        <v>0.51515151515151514</v>
      </c>
      <c r="J142">
        <v>2.04081632653061E-2</v>
      </c>
      <c r="M142">
        <f t="shared" si="124"/>
        <v>0.64625850340136048</v>
      </c>
      <c r="N142">
        <f t="shared" si="125"/>
        <v>0.63017031630170317</v>
      </c>
      <c r="O142">
        <f t="shared" si="126"/>
        <v>0.66666666666666663</v>
      </c>
      <c r="P142">
        <f t="shared" si="127"/>
        <v>0.55555555555555558</v>
      </c>
      <c r="Q142">
        <f t="shared" si="128"/>
        <v>0.66666666666666663</v>
      </c>
      <c r="R142">
        <f t="shared" si="129"/>
        <v>0.41666666666666663</v>
      </c>
      <c r="S142">
        <f t="shared" si="130"/>
        <v>0.15151515151515149</v>
      </c>
      <c r="T142">
        <f t="shared" si="131"/>
        <v>0.64625850340136048</v>
      </c>
    </row>
    <row r="143" spans="1:29" x14ac:dyDescent="0.25">
      <c r="A143">
        <v>30</v>
      </c>
      <c r="B143">
        <v>0.6216216216216216</v>
      </c>
      <c r="C143">
        <v>3.4482758620689599E-2</v>
      </c>
      <c r="D143">
        <v>4.3795620437956199E-2</v>
      </c>
      <c r="E143">
        <v>1.6949152542372801E-2</v>
      </c>
      <c r="F143">
        <v>0.1111111111111111</v>
      </c>
      <c r="G143">
        <v>0</v>
      </c>
      <c r="H143">
        <v>0.27659574468085107</v>
      </c>
      <c r="I143">
        <v>0.53846153846153844</v>
      </c>
      <c r="J143">
        <v>3.4482758620689599E-2</v>
      </c>
      <c r="M143">
        <f t="shared" si="124"/>
        <v>0.58713886300093199</v>
      </c>
      <c r="N143">
        <f t="shared" si="125"/>
        <v>0.57782600118366545</v>
      </c>
      <c r="O143">
        <f t="shared" si="126"/>
        <v>0.60467246907924876</v>
      </c>
      <c r="P143">
        <f t="shared" si="127"/>
        <v>0.51051051051051055</v>
      </c>
      <c r="Q143">
        <f t="shared" si="128"/>
        <v>0.6216216216216216</v>
      </c>
      <c r="R143">
        <f t="shared" si="129"/>
        <v>0.34502587694077053</v>
      </c>
      <c r="S143">
        <f t="shared" si="130"/>
        <v>8.3160083160083165E-2</v>
      </c>
      <c r="T143">
        <f t="shared" si="131"/>
        <v>0.58713886300093199</v>
      </c>
    </row>
    <row r="144" spans="1:29" x14ac:dyDescent="0.25">
      <c r="A144">
        <v>35</v>
      </c>
      <c r="B144">
        <v>0.66666666666666663</v>
      </c>
      <c r="C144">
        <v>2.94117647058823E-2</v>
      </c>
      <c r="D144">
        <v>5.1094890510948898E-2</v>
      </c>
      <c r="E144">
        <v>2.94117647058823E-2</v>
      </c>
      <c r="F144">
        <v>0.14754098360655729</v>
      </c>
      <c r="G144">
        <v>0</v>
      </c>
      <c r="H144">
        <v>0.2280701754385964</v>
      </c>
      <c r="I144">
        <v>0.59090909090909094</v>
      </c>
      <c r="J144">
        <v>2.94117647058823E-2</v>
      </c>
      <c r="M144">
        <f t="shared" si="124"/>
        <v>0.63725490196078438</v>
      </c>
      <c r="N144">
        <f t="shared" si="125"/>
        <v>0.61557177615571779</v>
      </c>
      <c r="O144">
        <f t="shared" si="126"/>
        <v>0.63725490196078438</v>
      </c>
      <c r="P144">
        <f t="shared" si="127"/>
        <v>0.51912568306010931</v>
      </c>
      <c r="Q144">
        <f t="shared" si="128"/>
        <v>0.66666666666666663</v>
      </c>
      <c r="R144">
        <f t="shared" si="129"/>
        <v>0.43859649122807021</v>
      </c>
      <c r="S144">
        <f t="shared" si="130"/>
        <v>7.575757575757569E-2</v>
      </c>
      <c r="T144">
        <f t="shared" si="131"/>
        <v>0.63725490196078438</v>
      </c>
    </row>
    <row r="145" spans="1:29" x14ac:dyDescent="0.25">
      <c r="A145">
        <v>40</v>
      </c>
      <c r="B145">
        <v>0.6875</v>
      </c>
      <c r="C145">
        <v>3.8461538461538401E-2</v>
      </c>
      <c r="D145">
        <v>5.9854014598540103E-2</v>
      </c>
      <c r="E145">
        <v>2.53164556962025E-2</v>
      </c>
      <c r="F145">
        <v>0.14084507042253519</v>
      </c>
      <c r="G145">
        <v>0</v>
      </c>
      <c r="H145">
        <v>0.20895522388059701</v>
      </c>
      <c r="I145">
        <v>0.52830188679245282</v>
      </c>
      <c r="J145">
        <v>3.8461538461538401E-2</v>
      </c>
      <c r="M145">
        <f t="shared" si="124"/>
        <v>0.64903846153846156</v>
      </c>
      <c r="N145">
        <f t="shared" si="125"/>
        <v>0.62764598540145988</v>
      </c>
      <c r="O145">
        <f t="shared" si="126"/>
        <v>0.66218354430379756</v>
      </c>
      <c r="P145">
        <f t="shared" si="127"/>
        <v>0.54665492957746475</v>
      </c>
      <c r="Q145">
        <f t="shared" si="128"/>
        <v>0.6875</v>
      </c>
      <c r="R145">
        <f t="shared" si="129"/>
        <v>0.47854477611940299</v>
      </c>
      <c r="S145">
        <f t="shared" si="130"/>
        <v>0.15919811320754718</v>
      </c>
      <c r="T145">
        <f t="shared" si="131"/>
        <v>0.64903846153846156</v>
      </c>
    </row>
    <row r="146" spans="1:29" s="10" customFormat="1" x14ac:dyDescent="0.25">
      <c r="A146" s="10" t="s">
        <v>40</v>
      </c>
      <c r="B146" s="10">
        <f>AVERAGE(B139:B145)</f>
        <v>0.57205138812281664</v>
      </c>
      <c r="C146" s="10">
        <f t="shared" ref="C146:J146" si="139">AVERAGE(C139:C145)</f>
        <v>2.1200750099205998E-2</v>
      </c>
      <c r="D146" s="10">
        <f t="shared" si="139"/>
        <v>3.7415034006803391E-2</v>
      </c>
      <c r="E146" s="10">
        <f t="shared" si="139"/>
        <v>1.0239624706351086E-2</v>
      </c>
      <c r="F146" s="10">
        <f t="shared" si="139"/>
        <v>0.11627308279351685</v>
      </c>
      <c r="G146" s="10">
        <f t="shared" si="139"/>
        <v>0</v>
      </c>
      <c r="H146" s="10">
        <f t="shared" si="139"/>
        <v>0.19461627920822294</v>
      </c>
      <c r="I146" s="10">
        <f t="shared" si="139"/>
        <v>0.45837904841186211</v>
      </c>
      <c r="J146" s="10">
        <f t="shared" si="139"/>
        <v>2.1200750099205998E-2</v>
      </c>
      <c r="M146" s="10">
        <f t="shared" si="124"/>
        <v>0.55085063802361067</v>
      </c>
      <c r="N146" s="10">
        <f t="shared" si="125"/>
        <v>0.53463635411601329</v>
      </c>
      <c r="O146" s="10">
        <f t="shared" si="126"/>
        <v>0.56181176341646555</v>
      </c>
      <c r="P146" s="10">
        <f t="shared" si="127"/>
        <v>0.4557783053292998</v>
      </c>
      <c r="Q146" s="10">
        <f t="shared" si="128"/>
        <v>0.57205138812281664</v>
      </c>
      <c r="R146" s="10">
        <f t="shared" si="129"/>
        <v>0.3774351089145937</v>
      </c>
      <c r="S146" s="10">
        <f t="shared" si="130"/>
        <v>0.11367233971095453</v>
      </c>
      <c r="T146" s="10">
        <f t="shared" si="131"/>
        <v>0.55085063802361067</v>
      </c>
      <c r="V146" s="10">
        <f>M146/C146</f>
        <v>25.982601344102484</v>
      </c>
      <c r="W146" s="10">
        <f t="shared" ref="W146" si="140">N146/D146</f>
        <v>14.289345668342765</v>
      </c>
      <c r="X146" s="10">
        <f t="shared" ref="X146" si="141">O146/E146</f>
        <v>54.866440863599628</v>
      </c>
      <c r="Y146" s="10">
        <f t="shared" ref="Y146" si="142">P146/F146</f>
        <v>3.9198952533037428</v>
      </c>
      <c r="AA146" s="10">
        <f t="shared" ref="AA146" si="143">R146/H146</f>
        <v>1.9393809729080786</v>
      </c>
      <c r="AB146" s="10">
        <f>S146/I146</f>
        <v>0.24798764277030788</v>
      </c>
      <c r="AC146" s="10">
        <f t="shared" ref="AC146" si="144">T146/J146</f>
        <v>25.982601344102484</v>
      </c>
    </row>
    <row r="147" spans="1:29" x14ac:dyDescent="0.25">
      <c r="A147">
        <v>10</v>
      </c>
      <c r="B147">
        <v>0.66666666666666663</v>
      </c>
      <c r="C147">
        <v>0.25</v>
      </c>
      <c r="D147">
        <v>7.5187969924811998E-2</v>
      </c>
      <c r="E147">
        <v>0.1764705882352941</v>
      </c>
      <c r="F147">
        <v>0.25</v>
      </c>
      <c r="G147">
        <v>0.33333333333333331</v>
      </c>
      <c r="H147">
        <v>0.1666666666666666</v>
      </c>
      <c r="I147">
        <v>0.33333333333333331</v>
      </c>
      <c r="J147">
        <v>0.1764705882352941</v>
      </c>
      <c r="M147">
        <f t="shared" si="124"/>
        <v>0.41666666666666663</v>
      </c>
      <c r="N147">
        <f t="shared" si="125"/>
        <v>0.5914786967418546</v>
      </c>
      <c r="O147">
        <f t="shared" si="126"/>
        <v>0.49019607843137253</v>
      </c>
      <c r="P147">
        <f t="shared" si="127"/>
        <v>0.41666666666666663</v>
      </c>
      <c r="Q147">
        <f t="shared" si="128"/>
        <v>0.33333333333333331</v>
      </c>
      <c r="R147">
        <f t="shared" si="129"/>
        <v>0.5</v>
      </c>
      <c r="S147">
        <f t="shared" si="130"/>
        <v>0.33333333333333331</v>
      </c>
      <c r="T147">
        <f t="shared" si="131"/>
        <v>0.49019607843137253</v>
      </c>
    </row>
    <row r="148" spans="1:29" x14ac:dyDescent="0.25">
      <c r="A148">
        <v>15</v>
      </c>
      <c r="B148">
        <v>0.47619047619047611</v>
      </c>
      <c r="C148">
        <v>0.25</v>
      </c>
      <c r="D148">
        <v>1.3181019332161601E-2</v>
      </c>
      <c r="E148">
        <v>0.1111111111111111</v>
      </c>
      <c r="F148">
        <v>0.1538461538461538</v>
      </c>
      <c r="G148">
        <v>0.36363636363636359</v>
      </c>
      <c r="H148">
        <v>0.10344827586206889</v>
      </c>
      <c r="I148">
        <v>0.42857142857142849</v>
      </c>
      <c r="J148">
        <v>0.25</v>
      </c>
      <c r="M148">
        <f t="shared" si="124"/>
        <v>0.22619047619047611</v>
      </c>
      <c r="N148">
        <f t="shared" si="125"/>
        <v>0.46300945685831452</v>
      </c>
      <c r="O148">
        <f t="shared" si="126"/>
        <v>0.365079365079365</v>
      </c>
      <c r="P148">
        <f t="shared" si="127"/>
        <v>0.32234432234432231</v>
      </c>
      <c r="Q148">
        <f t="shared" si="128"/>
        <v>0.11255411255411252</v>
      </c>
      <c r="R148">
        <f t="shared" si="129"/>
        <v>0.37274220032840721</v>
      </c>
      <c r="S148">
        <f t="shared" si="130"/>
        <v>4.7619047619047616E-2</v>
      </c>
      <c r="T148">
        <f t="shared" si="131"/>
        <v>0.22619047619047611</v>
      </c>
    </row>
    <row r="149" spans="1:29" x14ac:dyDescent="0.25">
      <c r="A149">
        <v>20</v>
      </c>
      <c r="B149">
        <v>0.4642857142857143</v>
      </c>
      <c r="C149">
        <v>0.25</v>
      </c>
      <c r="D149">
        <v>1.7574692442882199E-2</v>
      </c>
      <c r="E149">
        <v>0.14285714285714279</v>
      </c>
      <c r="F149">
        <v>0.1111111111111111</v>
      </c>
      <c r="G149">
        <v>0.37931034482758619</v>
      </c>
      <c r="H149">
        <v>7.69230769230769E-2</v>
      </c>
      <c r="I149">
        <v>0.32258064516129031</v>
      </c>
      <c r="J149">
        <v>0.25</v>
      </c>
      <c r="M149">
        <f t="shared" si="124"/>
        <v>0.2142857142857143</v>
      </c>
      <c r="N149">
        <f t="shared" si="125"/>
        <v>0.44671102184283212</v>
      </c>
      <c r="O149">
        <f t="shared" si="126"/>
        <v>0.32142857142857151</v>
      </c>
      <c r="P149">
        <f t="shared" si="127"/>
        <v>0.3531746031746032</v>
      </c>
      <c r="Q149">
        <f t="shared" si="128"/>
        <v>8.4975369458128114E-2</v>
      </c>
      <c r="R149">
        <f t="shared" si="129"/>
        <v>0.38736263736263743</v>
      </c>
      <c r="S149">
        <f t="shared" si="130"/>
        <v>0.14170506912442399</v>
      </c>
      <c r="T149">
        <f t="shared" si="131"/>
        <v>0.2142857142857143</v>
      </c>
    </row>
    <row r="150" spans="1:29" x14ac:dyDescent="0.25">
      <c r="A150">
        <v>25</v>
      </c>
      <c r="B150">
        <v>0.59375</v>
      </c>
      <c r="C150">
        <v>0.25</v>
      </c>
      <c r="D150">
        <v>2.1968365553602799E-2</v>
      </c>
      <c r="E150">
        <v>0.19047619047619041</v>
      </c>
      <c r="F150">
        <v>0.16279069767441859</v>
      </c>
      <c r="G150">
        <v>0.3888888888888889</v>
      </c>
      <c r="H150">
        <v>0.06</v>
      </c>
      <c r="I150">
        <v>0.41666666666666669</v>
      </c>
      <c r="J150">
        <v>0.25</v>
      </c>
      <c r="M150">
        <f t="shared" si="124"/>
        <v>0.34375</v>
      </c>
      <c r="N150">
        <f t="shared" si="125"/>
        <v>0.57178163444639718</v>
      </c>
      <c r="O150">
        <f t="shared" si="126"/>
        <v>0.40327380952380959</v>
      </c>
      <c r="P150">
        <f t="shared" si="127"/>
        <v>0.43095930232558144</v>
      </c>
      <c r="Q150">
        <f t="shared" si="128"/>
        <v>0.2048611111111111</v>
      </c>
      <c r="R150">
        <f t="shared" si="129"/>
        <v>0.53374999999999995</v>
      </c>
      <c r="S150">
        <f t="shared" si="130"/>
        <v>0.17708333333333331</v>
      </c>
      <c r="T150">
        <f t="shared" si="131"/>
        <v>0.34375</v>
      </c>
    </row>
    <row r="151" spans="1:29" x14ac:dyDescent="0.25">
      <c r="A151">
        <v>30</v>
      </c>
      <c r="B151">
        <v>0.67567567567567566</v>
      </c>
      <c r="C151">
        <v>0.22</v>
      </c>
      <c r="D151">
        <v>2.7240773286467401E-2</v>
      </c>
      <c r="E151">
        <v>0.17307692307692299</v>
      </c>
      <c r="F151">
        <v>0.17307692307692299</v>
      </c>
      <c r="G151">
        <v>0.33333333333333331</v>
      </c>
      <c r="H151">
        <v>6.6666666666666596E-2</v>
      </c>
      <c r="I151">
        <v>0.46511627906976738</v>
      </c>
      <c r="J151">
        <v>0.22</v>
      </c>
      <c r="M151">
        <f t="shared" si="124"/>
        <v>0.45567567567567568</v>
      </c>
      <c r="N151">
        <f t="shared" si="125"/>
        <v>0.6484349023892082</v>
      </c>
      <c r="O151">
        <f t="shared" si="126"/>
        <v>0.50259875259875264</v>
      </c>
      <c r="P151">
        <f t="shared" si="127"/>
        <v>0.50259875259875264</v>
      </c>
      <c r="Q151">
        <f t="shared" si="128"/>
        <v>0.34234234234234234</v>
      </c>
      <c r="R151">
        <f t="shared" si="129"/>
        <v>0.60900900900900901</v>
      </c>
      <c r="S151">
        <f t="shared" si="130"/>
        <v>0.21055939660590828</v>
      </c>
      <c r="T151">
        <f t="shared" si="131"/>
        <v>0.45567567567567568</v>
      </c>
    </row>
    <row r="152" spans="1:29" x14ac:dyDescent="0.25">
      <c r="A152">
        <v>35</v>
      </c>
      <c r="B152">
        <v>0.7142857142857143</v>
      </c>
      <c r="C152">
        <v>0.26785714285714279</v>
      </c>
      <c r="D152">
        <v>3.1634446397188001E-2</v>
      </c>
      <c r="E152">
        <v>0.18333333333333329</v>
      </c>
      <c r="F152">
        <v>0.18333333333333329</v>
      </c>
      <c r="G152">
        <v>0.36363636363636359</v>
      </c>
      <c r="H152">
        <v>5.7142857142857099E-2</v>
      </c>
      <c r="I152">
        <v>0.4038461538461538</v>
      </c>
      <c r="J152">
        <v>0.2456140350877192</v>
      </c>
      <c r="M152">
        <f t="shared" si="124"/>
        <v>0.44642857142857151</v>
      </c>
      <c r="N152">
        <f t="shared" si="125"/>
        <v>0.68265126788852626</v>
      </c>
      <c r="O152">
        <f t="shared" si="126"/>
        <v>0.53095238095238106</v>
      </c>
      <c r="P152">
        <f t="shared" si="127"/>
        <v>0.53095238095238106</v>
      </c>
      <c r="Q152">
        <f t="shared" si="128"/>
        <v>0.35064935064935071</v>
      </c>
      <c r="R152">
        <f t="shared" si="129"/>
        <v>0.65714285714285725</v>
      </c>
      <c r="S152">
        <f t="shared" si="130"/>
        <v>0.3104395604395605</v>
      </c>
      <c r="T152">
        <f t="shared" si="131"/>
        <v>0.46867167919799513</v>
      </c>
    </row>
    <row r="153" spans="1:29" x14ac:dyDescent="0.25">
      <c r="A153">
        <v>40</v>
      </c>
      <c r="B153">
        <v>0.70833333333333337</v>
      </c>
      <c r="C153">
        <v>0.24615384615384611</v>
      </c>
      <c r="D153">
        <v>3.6028119507908601E-2</v>
      </c>
      <c r="E153">
        <v>0.1911764705882352</v>
      </c>
      <c r="F153">
        <v>0.20895522388059701</v>
      </c>
      <c r="G153">
        <v>0.35384615384615381</v>
      </c>
      <c r="H153">
        <v>9.0909090909090898E-2</v>
      </c>
      <c r="I153">
        <v>0.4561403508771929</v>
      </c>
      <c r="J153">
        <v>0.24615384615384611</v>
      </c>
      <c r="M153">
        <f t="shared" si="124"/>
        <v>0.46217948717948726</v>
      </c>
      <c r="N153">
        <f t="shared" si="125"/>
        <v>0.67230521382542474</v>
      </c>
      <c r="O153">
        <f t="shared" si="126"/>
        <v>0.5171568627450982</v>
      </c>
      <c r="P153">
        <f t="shared" si="127"/>
        <v>0.49937810945273636</v>
      </c>
      <c r="Q153">
        <f t="shared" si="128"/>
        <v>0.35448717948717956</v>
      </c>
      <c r="R153">
        <f t="shared" si="129"/>
        <v>0.61742424242424243</v>
      </c>
      <c r="S153">
        <f t="shared" si="130"/>
        <v>0.25219298245614047</v>
      </c>
      <c r="T153">
        <f t="shared" si="131"/>
        <v>0.46217948717948726</v>
      </c>
    </row>
    <row r="154" spans="1:29" x14ac:dyDescent="0.25">
      <c r="A154">
        <v>45</v>
      </c>
      <c r="B154">
        <v>0.63157894736842102</v>
      </c>
      <c r="C154">
        <v>0.2266666666666666</v>
      </c>
      <c r="D154">
        <v>4.1300527240773197E-2</v>
      </c>
      <c r="E154">
        <v>0.21052631578947359</v>
      </c>
      <c r="F154">
        <v>0.21052631578947359</v>
      </c>
      <c r="G154">
        <v>0.35616438356164382</v>
      </c>
      <c r="H154">
        <v>9.0909090909090898E-2</v>
      </c>
      <c r="I154">
        <v>0.40298507462686561</v>
      </c>
      <c r="J154">
        <v>0.21052631578947359</v>
      </c>
      <c r="M154">
        <f t="shared" si="124"/>
        <v>0.40491228070175445</v>
      </c>
      <c r="N154">
        <f t="shared" si="125"/>
        <v>0.59027842012764786</v>
      </c>
      <c r="O154">
        <f t="shared" si="126"/>
        <v>0.42105263157894746</v>
      </c>
      <c r="P154">
        <f t="shared" si="127"/>
        <v>0.42105263157894746</v>
      </c>
      <c r="Q154">
        <f t="shared" si="128"/>
        <v>0.2754145638067772</v>
      </c>
      <c r="R154">
        <f t="shared" si="129"/>
        <v>0.54066985645933008</v>
      </c>
      <c r="S154">
        <f t="shared" si="130"/>
        <v>0.2285938727415554</v>
      </c>
      <c r="T154">
        <f t="shared" si="131"/>
        <v>0.42105263157894746</v>
      </c>
    </row>
    <row r="155" spans="1:29" s="10" customFormat="1" x14ac:dyDescent="0.25">
      <c r="A155" s="10" t="s">
        <v>68</v>
      </c>
      <c r="B155" s="10">
        <f>AVERAGE(B147:B153)</f>
        <v>0.61416965434822579</v>
      </c>
      <c r="C155" s="10">
        <f t="shared" ref="C155:J155" si="145">AVERAGE(C147:C153)</f>
        <v>0.24771585557299841</v>
      </c>
      <c r="D155" s="10">
        <f t="shared" si="145"/>
        <v>3.183076949214609E-2</v>
      </c>
      <c r="E155" s="10">
        <f t="shared" si="145"/>
        <v>0.16692882281117569</v>
      </c>
      <c r="F155" s="10">
        <f t="shared" si="145"/>
        <v>0.17758763470321953</v>
      </c>
      <c r="G155" s="10">
        <f t="shared" si="145"/>
        <v>0.35942639735743181</v>
      </c>
      <c r="H155" s="10">
        <f t="shared" si="145"/>
        <v>8.8822376310060985E-2</v>
      </c>
      <c r="I155" s="10">
        <f t="shared" si="145"/>
        <v>0.40375069393226187</v>
      </c>
      <c r="J155" s="10">
        <f t="shared" si="145"/>
        <v>0.23403406706812277</v>
      </c>
      <c r="M155" s="10">
        <f t="shared" si="124"/>
        <v>0.36645379877522738</v>
      </c>
      <c r="N155" s="10">
        <f t="shared" si="125"/>
        <v>0.58233888485607965</v>
      </c>
      <c r="O155" s="10">
        <f t="shared" si="126"/>
        <v>0.44724083153705008</v>
      </c>
      <c r="P155" s="10">
        <f t="shared" si="127"/>
        <v>0.43658201964500626</v>
      </c>
      <c r="Q155" s="10">
        <f t="shared" si="128"/>
        <v>0.25474325699079398</v>
      </c>
      <c r="R155" s="10">
        <f t="shared" si="129"/>
        <v>0.52534727803816483</v>
      </c>
      <c r="S155" s="10">
        <f t="shared" si="130"/>
        <v>0.21041896041596392</v>
      </c>
      <c r="T155" s="10">
        <f t="shared" si="131"/>
        <v>0.38013558728010299</v>
      </c>
      <c r="V155" s="10">
        <f>M155/C155</f>
        <v>1.4793312197459987</v>
      </c>
      <c r="W155" s="10">
        <f t="shared" ref="W155" si="146">N155/D155</f>
        <v>18.294841568305966</v>
      </c>
      <c r="X155" s="10">
        <f t="shared" ref="X155" si="147">O155/E155</f>
        <v>2.6792307284342018</v>
      </c>
      <c r="Y155" s="10">
        <f t="shared" ref="Y155" si="148">P155/F155</f>
        <v>2.4584032574937571</v>
      </c>
      <c r="Z155" s="10">
        <f t="shared" ref="Z155" si="149">Q155/G155</f>
        <v>0.70874943761424503</v>
      </c>
      <c r="AA155" s="10">
        <f t="shared" ref="AA155" si="150">R155/H155</f>
        <v>5.9145825619918515</v>
      </c>
      <c r="AB155" s="10">
        <f>S155/I155</f>
        <v>0.5211606161382013</v>
      </c>
      <c r="AC155" s="10">
        <f t="shared" ref="AC155" si="151">T155/J155</f>
        <v>1.6242745855006353</v>
      </c>
    </row>
    <row r="156" spans="1:29" x14ac:dyDescent="0.25">
      <c r="A156">
        <v>10</v>
      </c>
      <c r="B156">
        <v>0</v>
      </c>
      <c r="C156">
        <v>0</v>
      </c>
      <c r="D156">
        <v>0.1204819277108433</v>
      </c>
      <c r="E156">
        <v>0</v>
      </c>
      <c r="F156">
        <v>0</v>
      </c>
      <c r="G156">
        <v>0</v>
      </c>
      <c r="H156">
        <v>3.03030303030303E-2</v>
      </c>
      <c r="I156">
        <v>0</v>
      </c>
      <c r="J156">
        <v>0</v>
      </c>
      <c r="M156">
        <f t="shared" si="124"/>
        <v>0</v>
      </c>
      <c r="N156">
        <f t="shared" si="125"/>
        <v>-0.1204819277108433</v>
      </c>
      <c r="O156">
        <f t="shared" si="126"/>
        <v>0</v>
      </c>
      <c r="P156">
        <f t="shared" si="127"/>
        <v>0</v>
      </c>
      <c r="Q156">
        <f t="shared" si="128"/>
        <v>0</v>
      </c>
      <c r="R156">
        <f t="shared" si="129"/>
        <v>-3.03030303030303E-2</v>
      </c>
      <c r="S156">
        <f t="shared" si="130"/>
        <v>0</v>
      </c>
      <c r="T156">
        <f t="shared" si="131"/>
        <v>0</v>
      </c>
    </row>
    <row r="157" spans="1:29" x14ac:dyDescent="0.25">
      <c r="A157">
        <v>15</v>
      </c>
      <c r="B157">
        <v>7.1428571428571397E-2</v>
      </c>
      <c r="C157">
        <v>0</v>
      </c>
      <c r="D157">
        <v>0.1048951048951049</v>
      </c>
      <c r="E157">
        <v>0</v>
      </c>
      <c r="F157">
        <v>0</v>
      </c>
      <c r="G157">
        <v>0</v>
      </c>
      <c r="H157">
        <v>2.2222222222222199E-2</v>
      </c>
      <c r="I157">
        <v>2.8571428571428501E-2</v>
      </c>
      <c r="J157">
        <v>0</v>
      </c>
      <c r="M157">
        <f t="shared" si="124"/>
        <v>7.1428571428571397E-2</v>
      </c>
      <c r="N157">
        <f t="shared" si="125"/>
        <v>-3.3466533466533499E-2</v>
      </c>
      <c r="O157">
        <f t="shared" si="126"/>
        <v>7.1428571428571397E-2</v>
      </c>
      <c r="P157">
        <f t="shared" si="127"/>
        <v>7.1428571428571397E-2</v>
      </c>
      <c r="Q157">
        <f t="shared" si="128"/>
        <v>7.1428571428571397E-2</v>
      </c>
      <c r="R157">
        <f t="shared" si="129"/>
        <v>4.9206349206349198E-2</v>
      </c>
      <c r="S157">
        <f t="shared" si="130"/>
        <v>4.2857142857142899E-2</v>
      </c>
      <c r="T157">
        <f t="shared" si="131"/>
        <v>7.1428571428571397E-2</v>
      </c>
    </row>
    <row r="158" spans="1:29" x14ac:dyDescent="0.25">
      <c r="A158">
        <v>20</v>
      </c>
      <c r="B158">
        <v>0.33333333333333331</v>
      </c>
      <c r="C158">
        <v>3.5087719298245598E-2</v>
      </c>
      <c r="D158">
        <v>0.1058201058201058</v>
      </c>
      <c r="E158">
        <v>0</v>
      </c>
      <c r="F158">
        <v>0</v>
      </c>
      <c r="G158">
        <v>2.3255813953488299E-2</v>
      </c>
      <c r="H158">
        <v>0.24390243902439021</v>
      </c>
      <c r="I158">
        <v>0.24096385542168669</v>
      </c>
      <c r="J158">
        <v>0</v>
      </c>
      <c r="M158">
        <f t="shared" si="124"/>
        <v>0.2982456140350877</v>
      </c>
      <c r="N158">
        <f t="shared" si="125"/>
        <v>0.2275132275132275</v>
      </c>
      <c r="O158">
        <f t="shared" si="126"/>
        <v>0.33333333333333331</v>
      </c>
      <c r="P158">
        <f t="shared" si="127"/>
        <v>0.33333333333333331</v>
      </c>
      <c r="Q158">
        <f t="shared" si="128"/>
        <v>0.31007751937984501</v>
      </c>
      <c r="R158">
        <f t="shared" si="129"/>
        <v>8.9430894308943104E-2</v>
      </c>
      <c r="S158">
        <f t="shared" si="130"/>
        <v>9.2369477911646625E-2</v>
      </c>
      <c r="T158">
        <f t="shared" si="131"/>
        <v>0.33333333333333331</v>
      </c>
    </row>
    <row r="159" spans="1:29" x14ac:dyDescent="0.25">
      <c r="A159">
        <v>25</v>
      </c>
      <c r="B159">
        <v>0.47058823529411759</v>
      </c>
      <c r="C159">
        <v>4.4117647058823498E-2</v>
      </c>
      <c r="D159">
        <v>0.1146788990825688</v>
      </c>
      <c r="E159">
        <v>0</v>
      </c>
      <c r="F159">
        <v>0</v>
      </c>
      <c r="G159">
        <v>2.8368794326241099E-2</v>
      </c>
      <c r="H159">
        <v>0.2232142857142857</v>
      </c>
      <c r="I159">
        <v>0.25773195876288651</v>
      </c>
      <c r="J159">
        <v>0</v>
      </c>
      <c r="K159">
        <f>MIN(C156:J162)</f>
        <v>0</v>
      </c>
      <c r="M159">
        <f t="shared" si="124"/>
        <v>0.4264705882352941</v>
      </c>
      <c r="N159">
        <f t="shared" si="125"/>
        <v>0.3559093362115488</v>
      </c>
      <c r="O159">
        <f t="shared" si="126"/>
        <v>0.47058823529411759</v>
      </c>
      <c r="P159">
        <f t="shared" si="127"/>
        <v>0.47058823529411759</v>
      </c>
      <c r="Q159">
        <f t="shared" si="128"/>
        <v>0.44221944096787646</v>
      </c>
      <c r="R159">
        <f t="shared" si="129"/>
        <v>0.24737394957983189</v>
      </c>
      <c r="S159">
        <f t="shared" si="130"/>
        <v>0.21285627653123107</v>
      </c>
      <c r="T159">
        <f t="shared" si="131"/>
        <v>0.47058823529411759</v>
      </c>
    </row>
    <row r="160" spans="1:29" x14ac:dyDescent="0.25">
      <c r="A160">
        <v>30</v>
      </c>
      <c r="B160">
        <v>0.53846153846153844</v>
      </c>
      <c r="C160">
        <v>0.27777777777777779</v>
      </c>
      <c r="D160">
        <v>0.10563380281690141</v>
      </c>
      <c r="E160">
        <v>0</v>
      </c>
      <c r="F160">
        <v>0</v>
      </c>
      <c r="G160">
        <v>0.1666666666666666</v>
      </c>
      <c r="H160">
        <v>0.25210084033613439</v>
      </c>
      <c r="I160">
        <v>0.21582733812949639</v>
      </c>
      <c r="J160">
        <v>0</v>
      </c>
      <c r="K160">
        <f>MAX(C156:J162)</f>
        <v>0.32307692307692309</v>
      </c>
      <c r="M160">
        <f t="shared" si="124"/>
        <v>0.26068376068376065</v>
      </c>
      <c r="N160">
        <f t="shared" si="125"/>
        <v>0.43282773564463706</v>
      </c>
      <c r="O160">
        <f t="shared" si="126"/>
        <v>0.53846153846153844</v>
      </c>
      <c r="P160">
        <f t="shared" si="127"/>
        <v>0.53846153846153844</v>
      </c>
      <c r="Q160">
        <f t="shared" si="128"/>
        <v>0.37179487179487181</v>
      </c>
      <c r="R160">
        <f t="shared" si="129"/>
        <v>0.28636069812540405</v>
      </c>
      <c r="S160">
        <f t="shared" si="130"/>
        <v>0.32263420033204204</v>
      </c>
      <c r="T160">
        <f t="shared" si="131"/>
        <v>0.53846153846153844</v>
      </c>
    </row>
    <row r="161" spans="1:29" x14ac:dyDescent="0.25">
      <c r="A161">
        <v>35</v>
      </c>
      <c r="B161">
        <v>0.63636363636363635</v>
      </c>
      <c r="C161">
        <v>0.31092436974789911</v>
      </c>
      <c r="D161">
        <v>9.8143236074270501E-2</v>
      </c>
      <c r="E161">
        <v>0</v>
      </c>
      <c r="F161">
        <v>0</v>
      </c>
      <c r="G161">
        <v>0.193717277486911</v>
      </c>
      <c r="H161">
        <v>0.2890625</v>
      </c>
      <c r="I161">
        <v>0.23870967741935481</v>
      </c>
      <c r="J161">
        <v>2.8037383177569999E-2</v>
      </c>
      <c r="M161">
        <f t="shared" si="124"/>
        <v>0.32543926661573724</v>
      </c>
      <c r="N161">
        <f t="shared" si="125"/>
        <v>0.5382204002893658</v>
      </c>
      <c r="O161">
        <f t="shared" si="126"/>
        <v>0.63636363636363635</v>
      </c>
      <c r="P161">
        <f t="shared" si="127"/>
        <v>0.63636363636363635</v>
      </c>
      <c r="Q161">
        <f t="shared" si="128"/>
        <v>0.44264635887672532</v>
      </c>
      <c r="R161">
        <f t="shared" si="129"/>
        <v>0.34730113636363635</v>
      </c>
      <c r="S161">
        <f t="shared" si="130"/>
        <v>0.39765395894428157</v>
      </c>
      <c r="T161">
        <f t="shared" si="131"/>
        <v>0.60832625318606637</v>
      </c>
    </row>
    <row r="162" spans="1:29" x14ac:dyDescent="0.25">
      <c r="A162">
        <v>40</v>
      </c>
      <c r="B162">
        <v>0.69387755102040816</v>
      </c>
      <c r="C162">
        <v>0.32307692307692309</v>
      </c>
      <c r="D162">
        <v>7.7490774907748999E-2</v>
      </c>
      <c r="E162">
        <v>0</v>
      </c>
      <c r="F162">
        <v>1.4184397163120499E-2</v>
      </c>
      <c r="G162">
        <v>0.17721518987341769</v>
      </c>
      <c r="H162">
        <v>0.31343283582089548</v>
      </c>
      <c r="I162">
        <v>0.25454545454545452</v>
      </c>
      <c r="J162">
        <v>3.38983050847457E-2</v>
      </c>
      <c r="M162">
        <f t="shared" si="124"/>
        <v>0.37080062794348506</v>
      </c>
      <c r="N162">
        <f t="shared" si="125"/>
        <v>0.61638677611265913</v>
      </c>
      <c r="O162">
        <f t="shared" si="126"/>
        <v>0.69387755102040816</v>
      </c>
      <c r="P162">
        <f t="shared" si="127"/>
        <v>0.67969315385728768</v>
      </c>
      <c r="Q162">
        <f t="shared" si="128"/>
        <v>0.51666236114699049</v>
      </c>
      <c r="R162">
        <f t="shared" si="129"/>
        <v>0.38044471519951267</v>
      </c>
      <c r="S162">
        <f t="shared" si="130"/>
        <v>0.43933209647495364</v>
      </c>
      <c r="T162">
        <f t="shared" si="131"/>
        <v>0.65997924593566248</v>
      </c>
    </row>
    <row r="163" spans="1:29" s="10" customFormat="1" x14ac:dyDescent="0.25">
      <c r="A163" s="10" t="s">
        <v>69</v>
      </c>
      <c r="B163" s="10">
        <f>AVERAGE(B156:B162)</f>
        <v>0.39200755227165784</v>
      </c>
      <c r="C163" s="10">
        <f t="shared" ref="C163:J163" si="152">AVERAGE(C156:C162)</f>
        <v>0.1415692052799527</v>
      </c>
      <c r="D163" s="10">
        <f t="shared" si="152"/>
        <v>0.10387769304393482</v>
      </c>
      <c r="E163" s="10">
        <f t="shared" si="152"/>
        <v>0</v>
      </c>
      <c r="F163" s="10">
        <f t="shared" si="152"/>
        <v>2.0263424518743569E-3</v>
      </c>
      <c r="G163" s="10">
        <f t="shared" si="152"/>
        <v>8.4174820329532093E-2</v>
      </c>
      <c r="H163" s="10">
        <f t="shared" si="152"/>
        <v>0.19631973620299406</v>
      </c>
      <c r="I163" s="10">
        <f t="shared" si="152"/>
        <v>0.17662138755004392</v>
      </c>
      <c r="J163" s="10">
        <f t="shared" si="152"/>
        <v>8.8479554660450994E-3</v>
      </c>
      <c r="M163" s="10">
        <f t="shared" si="124"/>
        <v>0.25043834699170514</v>
      </c>
      <c r="N163" s="10">
        <f t="shared" si="125"/>
        <v>0.28812985922772305</v>
      </c>
      <c r="O163" s="10">
        <f t="shared" si="126"/>
        <v>0.39200755227165784</v>
      </c>
      <c r="P163" s="10">
        <f t="shared" si="127"/>
        <v>0.38998120981978351</v>
      </c>
      <c r="Q163" s="10">
        <f t="shared" si="128"/>
        <v>0.30783273194212574</v>
      </c>
      <c r="R163" s="10">
        <f t="shared" si="129"/>
        <v>0.19568781606866378</v>
      </c>
      <c r="S163" s="10">
        <f t="shared" si="130"/>
        <v>0.21538616472161393</v>
      </c>
      <c r="T163" s="10">
        <f t="shared" si="131"/>
        <v>0.38315959680561273</v>
      </c>
      <c r="V163" s="10">
        <f>M163/C163</f>
        <v>1.7690171142549258</v>
      </c>
      <c r="W163" s="10">
        <f t="shared" ref="W163" si="153">N163/D163</f>
        <v>2.7737414143945149</v>
      </c>
      <c r="Y163" s="10">
        <f>P163/F163</f>
        <v>192.45572704606411</v>
      </c>
      <c r="Z163" s="10">
        <f t="shared" ref="Z163" si="154">Q163/G163</f>
        <v>3.6570643184862845</v>
      </c>
      <c r="AA163" s="10">
        <f t="shared" ref="AA163" si="155">R163/H163</f>
        <v>0.99678116858471699</v>
      </c>
      <c r="AB163" s="10">
        <f>S163/I163</f>
        <v>1.2194795189262477</v>
      </c>
      <c r="AC163" s="10">
        <f t="shared" ref="AC163" si="156">T163/J163</f>
        <v>43.304874021577689</v>
      </c>
    </row>
    <row r="164" spans="1:29" x14ac:dyDescent="0.25">
      <c r="A164">
        <v>10</v>
      </c>
      <c r="B164">
        <v>0.53846153846153844</v>
      </c>
      <c r="C164">
        <v>5.2631578947368397E-2</v>
      </c>
      <c r="D164">
        <v>0.10989010989010981</v>
      </c>
      <c r="E164">
        <v>5.2631578947368397E-2</v>
      </c>
      <c r="F164">
        <v>0.1764705882352941</v>
      </c>
      <c r="G164">
        <v>0</v>
      </c>
      <c r="H164">
        <v>0.81818181818181823</v>
      </c>
      <c r="I164">
        <v>0.42857142857142849</v>
      </c>
      <c r="J164">
        <v>5.2631578947368397E-2</v>
      </c>
      <c r="M164">
        <f t="shared" si="124"/>
        <v>0.48582995951417002</v>
      </c>
      <c r="N164">
        <f t="shared" si="125"/>
        <v>0.4285714285714286</v>
      </c>
      <c r="O164">
        <f t="shared" si="126"/>
        <v>0.48582995951417002</v>
      </c>
      <c r="P164">
        <f t="shared" si="127"/>
        <v>0.36199095022624433</v>
      </c>
      <c r="Q164">
        <f t="shared" si="128"/>
        <v>0.53846153846153844</v>
      </c>
      <c r="R164">
        <f t="shared" si="129"/>
        <v>-0.2797202797202798</v>
      </c>
      <c r="S164">
        <f t="shared" si="130"/>
        <v>0.10989010989010994</v>
      </c>
      <c r="T164">
        <f t="shared" si="131"/>
        <v>0.48582995951417002</v>
      </c>
    </row>
    <row r="165" spans="1:29" x14ac:dyDescent="0.25">
      <c r="A165">
        <v>15</v>
      </c>
      <c r="B165">
        <v>0.57894736842105265</v>
      </c>
      <c r="C165">
        <v>7.1428571428571397E-2</v>
      </c>
      <c r="D165">
        <v>3.94736842105263E-2</v>
      </c>
      <c r="E165">
        <v>3.4482758620689599E-2</v>
      </c>
      <c r="F165">
        <v>0.25</v>
      </c>
      <c r="G165">
        <v>0</v>
      </c>
      <c r="H165">
        <v>0.76470588235294112</v>
      </c>
      <c r="I165">
        <v>0.57894736842105265</v>
      </c>
      <c r="J165">
        <v>7.1428571428571397E-2</v>
      </c>
      <c r="M165">
        <f t="shared" si="124"/>
        <v>0.50751879699248126</v>
      </c>
      <c r="N165">
        <f t="shared" si="125"/>
        <v>0.53947368421052633</v>
      </c>
      <c r="O165">
        <f t="shared" si="126"/>
        <v>0.54446460980036304</v>
      </c>
      <c r="P165">
        <f t="shared" si="127"/>
        <v>0.32894736842105265</v>
      </c>
      <c r="Q165">
        <f t="shared" si="128"/>
        <v>0.57894736842105265</v>
      </c>
      <c r="R165">
        <f t="shared" si="129"/>
        <v>-0.18575851393188847</v>
      </c>
      <c r="S165">
        <f t="shared" si="130"/>
        <v>0</v>
      </c>
      <c r="T165">
        <f t="shared" si="131"/>
        <v>0.50751879699248126</v>
      </c>
    </row>
    <row r="166" spans="1:29" x14ac:dyDescent="0.25">
      <c r="A166">
        <v>20</v>
      </c>
      <c r="B166">
        <v>0.66666666666666663</v>
      </c>
      <c r="C166">
        <v>0.14285714285714279</v>
      </c>
      <c r="D166">
        <v>4.0322580645161199E-2</v>
      </c>
      <c r="E166">
        <v>5.2631578947368397E-2</v>
      </c>
      <c r="F166">
        <v>0.25</v>
      </c>
      <c r="G166">
        <v>7.69230769230769E-2</v>
      </c>
      <c r="H166">
        <v>0.6</v>
      </c>
      <c r="I166">
        <v>0.51851851851851849</v>
      </c>
      <c r="J166">
        <v>0.14285714285714279</v>
      </c>
      <c r="M166">
        <f t="shared" si="124"/>
        <v>0.52380952380952384</v>
      </c>
      <c r="N166">
        <f t="shared" si="125"/>
        <v>0.62634408602150549</v>
      </c>
      <c r="O166">
        <f t="shared" si="126"/>
        <v>0.61403508771929827</v>
      </c>
      <c r="P166">
        <f t="shared" si="127"/>
        <v>0.41666666666666663</v>
      </c>
      <c r="Q166">
        <f t="shared" si="128"/>
        <v>0.58974358974358976</v>
      </c>
      <c r="R166">
        <f t="shared" si="129"/>
        <v>6.6666666666666652E-2</v>
      </c>
      <c r="S166">
        <f t="shared" si="130"/>
        <v>0.14814814814814814</v>
      </c>
      <c r="T166">
        <f t="shared" si="131"/>
        <v>0.52380952380952384</v>
      </c>
    </row>
    <row r="167" spans="1:29" x14ac:dyDescent="0.25">
      <c r="A167">
        <v>25</v>
      </c>
      <c r="B167">
        <v>0.64516129032258063</v>
      </c>
      <c r="C167">
        <v>0.15909090909090909</v>
      </c>
      <c r="D167">
        <v>5.2419354838709603E-2</v>
      </c>
      <c r="E167">
        <v>8.5106382978723402E-2</v>
      </c>
      <c r="F167">
        <v>0.27500000000000002</v>
      </c>
      <c r="G167">
        <v>0.08</v>
      </c>
      <c r="H167">
        <v>0.5</v>
      </c>
      <c r="I167">
        <v>0.48571428571428571</v>
      </c>
      <c r="J167">
        <v>0.15909090909090909</v>
      </c>
      <c r="M167">
        <f t="shared" si="124"/>
        <v>0.48607038123167157</v>
      </c>
      <c r="N167">
        <f t="shared" si="125"/>
        <v>0.592741935483871</v>
      </c>
      <c r="O167">
        <f t="shared" si="126"/>
        <v>0.56005490734385721</v>
      </c>
      <c r="P167">
        <f t="shared" si="127"/>
        <v>0.37016129032258061</v>
      </c>
      <c r="Q167">
        <f t="shared" si="128"/>
        <v>0.56516129032258067</v>
      </c>
      <c r="R167">
        <f t="shared" si="129"/>
        <v>0.14516129032258063</v>
      </c>
      <c r="S167">
        <f t="shared" si="130"/>
        <v>0.15944700460829492</v>
      </c>
      <c r="T167">
        <f t="shared" si="131"/>
        <v>0.48607038123167157</v>
      </c>
    </row>
    <row r="168" spans="1:29" x14ac:dyDescent="0.25">
      <c r="A168">
        <v>30</v>
      </c>
      <c r="B168">
        <v>0.5641025641025641</v>
      </c>
      <c r="C168">
        <v>0.15094339622641509</v>
      </c>
      <c r="D168">
        <v>6.25E-2</v>
      </c>
      <c r="E168">
        <v>8.9285714285714204E-2</v>
      </c>
      <c r="F168">
        <v>0.2978723404255319</v>
      </c>
      <c r="G168">
        <v>0.14285714285714279</v>
      </c>
      <c r="H168">
        <v>0.60526315789473684</v>
      </c>
      <c r="I168">
        <v>0.47619047619047611</v>
      </c>
      <c r="J168">
        <v>0.15094339622641509</v>
      </c>
      <c r="M168">
        <f t="shared" si="124"/>
        <v>0.41315916787614904</v>
      </c>
      <c r="N168">
        <f t="shared" si="125"/>
        <v>0.5016025641025641</v>
      </c>
      <c r="O168">
        <f t="shared" si="126"/>
        <v>0.47481684981684991</v>
      </c>
      <c r="P168">
        <f t="shared" si="127"/>
        <v>0.2662302236770322</v>
      </c>
      <c r="Q168">
        <f t="shared" si="128"/>
        <v>0.4212454212454213</v>
      </c>
      <c r="R168">
        <f t="shared" si="129"/>
        <v>-4.1160593792172739E-2</v>
      </c>
      <c r="S168">
        <f t="shared" si="130"/>
        <v>8.7912087912087988E-2</v>
      </c>
      <c r="T168">
        <f t="shared" si="131"/>
        <v>0.41315916787614904</v>
      </c>
    </row>
    <row r="169" spans="1:29" x14ac:dyDescent="0.25">
      <c r="A169">
        <v>35</v>
      </c>
      <c r="B169">
        <v>0.57777777777777772</v>
      </c>
      <c r="C169">
        <v>0.1639344262295081</v>
      </c>
      <c r="D169">
        <v>7.25806451612903E-2</v>
      </c>
      <c r="E169">
        <v>0.12698412698412689</v>
      </c>
      <c r="F169">
        <v>0.26785714285714279</v>
      </c>
      <c r="G169">
        <v>0.19354838709677419</v>
      </c>
      <c r="H169">
        <v>0.54347826086956519</v>
      </c>
      <c r="I169">
        <v>0.46938775510204078</v>
      </c>
      <c r="J169">
        <v>0.1451612903225806</v>
      </c>
      <c r="M169">
        <f t="shared" si="124"/>
        <v>0.41384335154826962</v>
      </c>
      <c r="N169">
        <f t="shared" si="125"/>
        <v>0.50519713261648747</v>
      </c>
      <c r="O169">
        <f t="shared" si="126"/>
        <v>0.45079365079365086</v>
      </c>
      <c r="P169">
        <f t="shared" si="127"/>
        <v>0.30992063492063493</v>
      </c>
      <c r="Q169">
        <f t="shared" si="128"/>
        <v>0.38422939068100354</v>
      </c>
      <c r="R169">
        <f t="shared" si="129"/>
        <v>3.4299516908212535E-2</v>
      </c>
      <c r="S169">
        <f t="shared" si="130"/>
        <v>0.10839002267573694</v>
      </c>
      <c r="T169">
        <f t="shared" si="131"/>
        <v>0.4326164874551971</v>
      </c>
    </row>
    <row r="170" spans="1:29" x14ac:dyDescent="0.25">
      <c r="A170">
        <v>40</v>
      </c>
      <c r="B170">
        <v>0.55769230769230771</v>
      </c>
      <c r="C170">
        <v>0.14084507042253519</v>
      </c>
      <c r="D170">
        <v>8.2661290322580599E-2</v>
      </c>
      <c r="E170">
        <v>0.1095890410958904</v>
      </c>
      <c r="F170">
        <v>0.24615384615384611</v>
      </c>
      <c r="G170">
        <v>0.21428571428571419</v>
      </c>
      <c r="H170">
        <v>0.49090909090909091</v>
      </c>
      <c r="I170">
        <v>0.4137931034482758</v>
      </c>
      <c r="J170">
        <v>0.14084507042253519</v>
      </c>
      <c r="M170">
        <f t="shared" si="124"/>
        <v>0.41684723726977252</v>
      </c>
      <c r="N170">
        <f t="shared" si="125"/>
        <v>0.47503101736972708</v>
      </c>
      <c r="O170">
        <f t="shared" si="126"/>
        <v>0.4481032665964173</v>
      </c>
      <c r="P170">
        <f t="shared" si="127"/>
        <v>0.3115384615384616</v>
      </c>
      <c r="Q170">
        <f t="shared" si="128"/>
        <v>0.34340659340659352</v>
      </c>
      <c r="R170">
        <f t="shared" si="129"/>
        <v>6.6783216783216803E-2</v>
      </c>
      <c r="S170">
        <f t="shared" si="130"/>
        <v>0.14389920424403191</v>
      </c>
      <c r="T170">
        <f t="shared" si="131"/>
        <v>0.41684723726977252</v>
      </c>
    </row>
    <row r="171" spans="1:29" s="10" customFormat="1" x14ac:dyDescent="0.25">
      <c r="A171" s="10" t="s">
        <v>70</v>
      </c>
      <c r="B171" s="10">
        <f>AVERAGE(B164:B170)</f>
        <v>0.58982993049206967</v>
      </c>
      <c r="C171" s="10">
        <f t="shared" ref="C171:J171" si="157">AVERAGE(C164:C170)</f>
        <v>0.12596158502892144</v>
      </c>
      <c r="D171" s="10">
        <f t="shared" si="157"/>
        <v>6.5692523581196829E-2</v>
      </c>
      <c r="E171" s="10">
        <f t="shared" si="157"/>
        <v>7.8673025979983047E-2</v>
      </c>
      <c r="F171" s="10">
        <f t="shared" si="157"/>
        <v>0.25190770252454497</v>
      </c>
      <c r="G171" s="10">
        <f t="shared" si="157"/>
        <v>0.10108776016610115</v>
      </c>
      <c r="H171" s="10">
        <f t="shared" si="157"/>
        <v>0.61750545860116468</v>
      </c>
      <c r="I171" s="10">
        <f t="shared" si="157"/>
        <v>0.48158899085229689</v>
      </c>
      <c r="J171" s="10">
        <f t="shared" si="157"/>
        <v>0.12327970847078894</v>
      </c>
      <c r="M171" s="10">
        <f t="shared" si="124"/>
        <v>0.46386834546314826</v>
      </c>
      <c r="N171" s="10">
        <f t="shared" si="125"/>
        <v>0.52413740691087285</v>
      </c>
      <c r="O171" s="10">
        <f t="shared" si="126"/>
        <v>0.51115690451208662</v>
      </c>
      <c r="P171" s="10">
        <f t="shared" si="127"/>
        <v>0.33792222796752469</v>
      </c>
      <c r="Q171" s="10">
        <f t="shared" si="128"/>
        <v>0.48874217032596851</v>
      </c>
      <c r="R171" s="10">
        <f t="shared" si="129"/>
        <v>-2.7675528109095016E-2</v>
      </c>
      <c r="S171" s="10">
        <f t="shared" si="130"/>
        <v>0.10824093963977277</v>
      </c>
      <c r="T171" s="10">
        <f t="shared" si="131"/>
        <v>0.46655022202128071</v>
      </c>
      <c r="V171" s="10">
        <f>M171/C171</f>
        <v>3.6826175643680705</v>
      </c>
      <c r="W171" s="10">
        <f t="shared" ref="W171" si="158">N171/D171</f>
        <v>7.9786462497978494</v>
      </c>
      <c r="X171" s="10">
        <f t="shared" ref="X171" si="159">O171/E171</f>
        <v>6.4972320327699284</v>
      </c>
      <c r="Y171" s="10">
        <f t="shared" ref="Y171" si="160">P171/F171</f>
        <v>1.3414525422643588</v>
      </c>
      <c r="Z171" s="10">
        <f t="shared" ref="Z171" si="161">Q171/G171</f>
        <v>4.8348303446717749</v>
      </c>
      <c r="AA171" s="10">
        <f t="shared" ref="AA171" si="162">R171/H171</f>
        <v>-4.4818272816224816E-2</v>
      </c>
      <c r="AB171" s="10">
        <f>S171/I171</f>
        <v>0.22475791950354243</v>
      </c>
      <c r="AC171" s="10">
        <f t="shared" ref="AC171" si="163">T171/J171</f>
        <v>3.784485117693392</v>
      </c>
    </row>
    <row r="172" spans="1:29" x14ac:dyDescent="0.25">
      <c r="A172">
        <v>10</v>
      </c>
      <c r="B172">
        <v>0.83333333333333337</v>
      </c>
      <c r="C172">
        <v>0.90909090909090917</v>
      </c>
      <c r="D172">
        <v>0.41666666666666669</v>
      </c>
      <c r="E172">
        <v>0.61538461538461542</v>
      </c>
      <c r="F172">
        <v>0.90909090909090917</v>
      </c>
      <c r="G172">
        <v>0.43478260869565211</v>
      </c>
      <c r="H172">
        <v>0.75</v>
      </c>
      <c r="I172">
        <v>0.75</v>
      </c>
      <c r="J172">
        <v>0.75</v>
      </c>
      <c r="M172">
        <f t="shared" si="124"/>
        <v>-7.5757575757575801E-2</v>
      </c>
      <c r="N172">
        <f t="shared" si="125"/>
        <v>0.41666666666666669</v>
      </c>
      <c r="O172">
        <f t="shared" si="126"/>
        <v>0.21794871794871795</v>
      </c>
      <c r="P172">
        <f t="shared" si="127"/>
        <v>-7.5757575757575801E-2</v>
      </c>
      <c r="Q172">
        <f t="shared" si="128"/>
        <v>0.39855072463768126</v>
      </c>
      <c r="R172">
        <f t="shared" si="129"/>
        <v>8.333333333333337E-2</v>
      </c>
      <c r="S172">
        <f t="shared" si="130"/>
        <v>8.333333333333337E-2</v>
      </c>
      <c r="T172">
        <f t="shared" si="131"/>
        <v>8.333333333333337E-2</v>
      </c>
    </row>
    <row r="173" spans="1:29" x14ac:dyDescent="0.25">
      <c r="A173">
        <v>15</v>
      </c>
      <c r="B173">
        <v>0.68421052631578949</v>
      </c>
      <c r="C173">
        <v>0.72222222222222221</v>
      </c>
      <c r="D173">
        <v>0.41025641025641019</v>
      </c>
      <c r="E173">
        <v>0.63157894736842102</v>
      </c>
      <c r="F173">
        <v>0.72222222222222221</v>
      </c>
      <c r="G173">
        <v>0.41025641025641019</v>
      </c>
      <c r="H173">
        <v>0.72222222222222221</v>
      </c>
      <c r="I173">
        <v>0.72222222222222221</v>
      </c>
      <c r="J173">
        <v>0.72222222222222221</v>
      </c>
      <c r="M173">
        <f t="shared" si="124"/>
        <v>-3.8011695906432719E-2</v>
      </c>
      <c r="N173">
        <f t="shared" si="125"/>
        <v>0.2739541160593793</v>
      </c>
      <c r="O173">
        <f t="shared" si="126"/>
        <v>5.2631578947368474E-2</v>
      </c>
      <c r="P173">
        <f t="shared" si="127"/>
        <v>-3.8011695906432719E-2</v>
      </c>
      <c r="Q173">
        <f t="shared" si="128"/>
        <v>0.2739541160593793</v>
      </c>
      <c r="R173">
        <f t="shared" si="129"/>
        <v>-3.8011695906432719E-2</v>
      </c>
      <c r="S173">
        <f t="shared" si="130"/>
        <v>-3.8011695906432719E-2</v>
      </c>
      <c r="T173">
        <f t="shared" si="131"/>
        <v>-3.8011695906432719E-2</v>
      </c>
    </row>
    <row r="174" spans="1:29" x14ac:dyDescent="0.25">
      <c r="A174">
        <v>20</v>
      </c>
      <c r="B174">
        <v>0.75</v>
      </c>
      <c r="C174">
        <v>0.70833333333333337</v>
      </c>
      <c r="D174">
        <v>0.53846153846153844</v>
      </c>
      <c r="E174">
        <v>0.64</v>
      </c>
      <c r="F174">
        <v>0.78260869565217395</v>
      </c>
      <c r="G174">
        <v>0.53846153846153844</v>
      </c>
      <c r="H174">
        <v>0.64</v>
      </c>
      <c r="I174">
        <v>0.64</v>
      </c>
      <c r="J174">
        <v>0.64</v>
      </c>
      <c r="K174">
        <f>MIN(C172:J177)</f>
        <v>0.41025641025641019</v>
      </c>
      <c r="M174">
        <f t="shared" si="124"/>
        <v>4.166666666666663E-2</v>
      </c>
      <c r="N174">
        <f t="shared" si="125"/>
        <v>0.21153846153846156</v>
      </c>
      <c r="O174">
        <f t="shared" si="126"/>
        <v>0.10999999999999999</v>
      </c>
      <c r="P174">
        <f t="shared" si="127"/>
        <v>-3.2608695652173947E-2</v>
      </c>
      <c r="Q174">
        <f t="shared" si="128"/>
        <v>0.21153846153846156</v>
      </c>
      <c r="R174">
        <f t="shared" si="129"/>
        <v>0.10999999999999999</v>
      </c>
      <c r="S174">
        <f t="shared" si="130"/>
        <v>0.10999999999999999</v>
      </c>
      <c r="T174">
        <f t="shared" si="131"/>
        <v>0.10999999999999999</v>
      </c>
    </row>
    <row r="175" spans="1:29" x14ac:dyDescent="0.25">
      <c r="A175">
        <v>25</v>
      </c>
      <c r="B175">
        <v>0.7931034482758621</v>
      </c>
      <c r="C175">
        <v>0.73333333333333328</v>
      </c>
      <c r="D175">
        <v>0.66666666666666663</v>
      </c>
      <c r="E175">
        <v>0.7</v>
      </c>
      <c r="F175">
        <v>0.73333333333333328</v>
      </c>
      <c r="G175">
        <v>0.66666666666666663</v>
      </c>
      <c r="H175">
        <v>0.7931034482758621</v>
      </c>
      <c r="I175">
        <v>0.7931034482758621</v>
      </c>
      <c r="J175">
        <v>0.7</v>
      </c>
      <c r="K175">
        <f>MAX(C172:J177)</f>
        <v>0.97435897435897445</v>
      </c>
      <c r="M175">
        <f t="shared" si="124"/>
        <v>5.9770114942528818E-2</v>
      </c>
      <c r="N175">
        <f t="shared" si="125"/>
        <v>0.12643678160919547</v>
      </c>
      <c r="O175">
        <f t="shared" si="126"/>
        <v>9.3103448275862144E-2</v>
      </c>
      <c r="P175">
        <f t="shared" si="127"/>
        <v>5.9770114942528818E-2</v>
      </c>
      <c r="Q175">
        <f t="shared" si="128"/>
        <v>0.12643678160919547</v>
      </c>
      <c r="R175">
        <f t="shared" si="129"/>
        <v>0</v>
      </c>
      <c r="S175">
        <f t="shared" si="130"/>
        <v>0</v>
      </c>
      <c r="T175">
        <f t="shared" si="131"/>
        <v>9.3103448275862144E-2</v>
      </c>
    </row>
    <row r="176" spans="1:29" x14ac:dyDescent="0.25">
      <c r="A176">
        <v>30</v>
      </c>
      <c r="B176">
        <v>0.93939393939393945</v>
      </c>
      <c r="C176">
        <v>0.93939393939393945</v>
      </c>
      <c r="D176">
        <v>0.84615384615384615</v>
      </c>
      <c r="E176">
        <v>0.82857142857142863</v>
      </c>
      <c r="F176">
        <v>0.88235294117647056</v>
      </c>
      <c r="G176">
        <v>0.84615384615384615</v>
      </c>
      <c r="H176">
        <v>0.88235294117647056</v>
      </c>
      <c r="I176">
        <v>0.88235294117647056</v>
      </c>
      <c r="J176">
        <v>0.88235294117647056</v>
      </c>
      <c r="M176">
        <f t="shared" si="124"/>
        <v>0</v>
      </c>
      <c r="N176">
        <f t="shared" si="125"/>
        <v>9.3240093240093302E-2</v>
      </c>
      <c r="O176">
        <f t="shared" si="126"/>
        <v>0.11082251082251082</v>
      </c>
      <c r="P176">
        <f t="shared" si="127"/>
        <v>5.7040998217468886E-2</v>
      </c>
      <c r="Q176">
        <f t="shared" si="128"/>
        <v>9.3240093240093302E-2</v>
      </c>
      <c r="R176">
        <f t="shared" si="129"/>
        <v>5.7040998217468886E-2</v>
      </c>
      <c r="S176">
        <f t="shared" si="130"/>
        <v>5.7040998217468886E-2</v>
      </c>
      <c r="T176">
        <f t="shared" si="131"/>
        <v>5.7040998217468886E-2</v>
      </c>
    </row>
    <row r="177" spans="1:29" x14ac:dyDescent="0.25">
      <c r="A177">
        <v>35</v>
      </c>
      <c r="B177">
        <v>0.94736842105263164</v>
      </c>
      <c r="C177">
        <v>0.97368421052631582</v>
      </c>
      <c r="D177">
        <v>0.97435897435897445</v>
      </c>
      <c r="E177">
        <v>0.92307692307692324</v>
      </c>
      <c r="F177">
        <v>0.94736842105263164</v>
      </c>
      <c r="G177">
        <v>0.97435897435897445</v>
      </c>
      <c r="H177">
        <v>0.97368421052631582</v>
      </c>
      <c r="I177">
        <v>0.97368421052631582</v>
      </c>
      <c r="J177">
        <v>0.97368421052631582</v>
      </c>
      <c r="M177">
        <f t="shared" si="124"/>
        <v>-2.6315789473684181E-2</v>
      </c>
      <c r="N177">
        <f t="shared" si="125"/>
        <v>-2.6990553306342813E-2</v>
      </c>
      <c r="O177">
        <f t="shared" si="126"/>
        <v>2.4291497975708398E-2</v>
      </c>
      <c r="P177">
        <f t="shared" si="127"/>
        <v>0</v>
      </c>
      <c r="Q177">
        <f t="shared" si="128"/>
        <v>-2.6990553306342813E-2</v>
      </c>
      <c r="R177">
        <f t="shared" si="129"/>
        <v>-2.6315789473684181E-2</v>
      </c>
      <c r="S177">
        <f t="shared" si="130"/>
        <v>-2.6315789473684181E-2</v>
      </c>
      <c r="T177">
        <f t="shared" si="131"/>
        <v>-2.6315789473684181E-2</v>
      </c>
    </row>
    <row r="178" spans="1:29" s="10" customFormat="1" x14ac:dyDescent="0.25">
      <c r="A178" s="10" t="s">
        <v>71</v>
      </c>
      <c r="B178" s="10">
        <f>AVERAGE(B172:B177)</f>
        <v>0.82456827806192601</v>
      </c>
      <c r="C178" s="10">
        <f t="shared" ref="C178:J178" si="164">AVERAGE(C172:C177)</f>
        <v>0.83100965798334225</v>
      </c>
      <c r="D178" s="10">
        <f t="shared" si="164"/>
        <v>0.64209401709401714</v>
      </c>
      <c r="E178" s="10">
        <f t="shared" si="164"/>
        <v>0.72310198573356466</v>
      </c>
      <c r="F178" s="10">
        <f t="shared" si="164"/>
        <v>0.82949608708795675</v>
      </c>
      <c r="G178" s="10">
        <f t="shared" si="164"/>
        <v>0.64511334076551463</v>
      </c>
      <c r="H178" s="10">
        <f t="shared" si="164"/>
        <v>0.79356047036681188</v>
      </c>
      <c r="I178" s="10">
        <f t="shared" si="164"/>
        <v>0.79356047036681188</v>
      </c>
      <c r="J178" s="10">
        <f t="shared" si="164"/>
        <v>0.77804322898750133</v>
      </c>
      <c r="M178" s="10">
        <f t="shared" si="124"/>
        <v>-6.4413799214162459E-3</v>
      </c>
      <c r="N178" s="10">
        <f t="shared" si="125"/>
        <v>0.18247426096790886</v>
      </c>
      <c r="O178" s="10">
        <f t="shared" si="126"/>
        <v>0.10146629232836135</v>
      </c>
      <c r="P178" s="10">
        <f t="shared" si="127"/>
        <v>-4.9278090260307383E-3</v>
      </c>
      <c r="Q178" s="10">
        <f t="shared" si="128"/>
        <v>0.17945493729641138</v>
      </c>
      <c r="R178" s="10">
        <f t="shared" si="129"/>
        <v>3.1007807695114131E-2</v>
      </c>
      <c r="S178" s="10">
        <f t="shared" si="130"/>
        <v>3.1007807695114131E-2</v>
      </c>
      <c r="T178" s="10">
        <f t="shared" si="131"/>
        <v>4.6525049074424674E-2</v>
      </c>
      <c r="V178" s="10">
        <f>M178/C178</f>
        <v>-7.7512696266947168E-3</v>
      </c>
      <c r="W178" s="10">
        <f t="shared" ref="W178" si="165">N178/D178</f>
        <v>0.28418620343754192</v>
      </c>
      <c r="X178" s="10">
        <f t="shared" ref="X178" si="166">O178/E178</f>
        <v>0.14032085975455721</v>
      </c>
      <c r="Y178" s="10">
        <f t="shared" ref="Y178" si="167">P178/F178</f>
        <v>-5.9407260657857825E-3</v>
      </c>
      <c r="Z178" s="10">
        <f t="shared" ref="Z178" si="168">Q178/G178</f>
        <v>0.27817582734138424</v>
      </c>
      <c r="AA178" s="10">
        <f t="shared" ref="AA178" si="169">R178/H178</f>
        <v>3.9074284636155351E-2</v>
      </c>
      <c r="AB178" s="10">
        <f>S178/I178</f>
        <v>3.9074284636155351E-2</v>
      </c>
      <c r="AC178" s="10">
        <f t="shared" ref="AC178" si="170">T178/J178</f>
        <v>5.9797511681927464E-2</v>
      </c>
    </row>
    <row r="179" spans="1:29" x14ac:dyDescent="0.25">
      <c r="A179">
        <v>10</v>
      </c>
      <c r="B179">
        <v>0.42857142857142849</v>
      </c>
      <c r="C179">
        <v>0.1111111111111111</v>
      </c>
      <c r="D179">
        <v>9.6246390760345996E-3</v>
      </c>
      <c r="E179">
        <v>5.2631578947368397E-2</v>
      </c>
      <c r="F179">
        <v>0.1764705882352941</v>
      </c>
      <c r="G179">
        <v>0</v>
      </c>
      <c r="H179">
        <v>0.66666666666666663</v>
      </c>
      <c r="I179">
        <v>0.33333333333333331</v>
      </c>
      <c r="J179">
        <v>0.1111111111111111</v>
      </c>
      <c r="M179">
        <f t="shared" si="124"/>
        <v>0.31746031746031739</v>
      </c>
      <c r="N179">
        <f t="shared" si="125"/>
        <v>0.41894678949539388</v>
      </c>
      <c r="O179">
        <f t="shared" si="126"/>
        <v>0.37593984962406007</v>
      </c>
      <c r="P179">
        <f t="shared" si="127"/>
        <v>0.25210084033613439</v>
      </c>
      <c r="Q179">
        <f t="shared" si="128"/>
        <v>0.42857142857142849</v>
      </c>
      <c r="R179">
        <f t="shared" si="129"/>
        <v>-0.23809523809523814</v>
      </c>
      <c r="S179">
        <f t="shared" si="130"/>
        <v>9.5238095238095177E-2</v>
      </c>
      <c r="T179">
        <f t="shared" si="131"/>
        <v>0.31746031746031739</v>
      </c>
    </row>
    <row r="180" spans="1:29" x14ac:dyDescent="0.25">
      <c r="A180">
        <v>15</v>
      </c>
      <c r="B180">
        <v>0.57894736842105265</v>
      </c>
      <c r="C180">
        <v>7.1428571428571397E-2</v>
      </c>
      <c r="D180">
        <v>1.4436958614051899E-2</v>
      </c>
      <c r="E180">
        <v>7.1428571428571397E-2</v>
      </c>
      <c r="F180">
        <v>0.2</v>
      </c>
      <c r="G180">
        <v>0</v>
      </c>
      <c r="H180">
        <v>0.42857142857142849</v>
      </c>
      <c r="I180">
        <v>0.42857142857142849</v>
      </c>
      <c r="J180">
        <v>7.1428571428571397E-2</v>
      </c>
      <c r="M180">
        <f t="shared" si="124"/>
        <v>0.50751879699248126</v>
      </c>
      <c r="N180">
        <f t="shared" si="125"/>
        <v>0.56451040980700073</v>
      </c>
      <c r="O180">
        <f t="shared" si="126"/>
        <v>0.50751879699248126</v>
      </c>
      <c r="P180">
        <f t="shared" si="127"/>
        <v>0.37894736842105264</v>
      </c>
      <c r="Q180">
        <f t="shared" si="128"/>
        <v>0.57894736842105265</v>
      </c>
      <c r="R180">
        <f t="shared" si="129"/>
        <v>0.15037593984962416</v>
      </c>
      <c r="S180">
        <f t="shared" si="130"/>
        <v>0.15037593984962416</v>
      </c>
      <c r="T180">
        <f t="shared" si="131"/>
        <v>0.50751879699248126</v>
      </c>
    </row>
    <row r="181" spans="1:29" x14ac:dyDescent="0.25">
      <c r="A181">
        <v>20</v>
      </c>
      <c r="B181">
        <v>0.53846153846153844</v>
      </c>
      <c r="C181">
        <v>8.1081081081081002E-2</v>
      </c>
      <c r="D181">
        <v>1.9249278152069199E-2</v>
      </c>
      <c r="E181">
        <v>8.1081081081081002E-2</v>
      </c>
      <c r="F181">
        <v>0.2121212121212121</v>
      </c>
      <c r="G181">
        <v>4.54545454545454E-2</v>
      </c>
      <c r="H181">
        <v>0.33333333333333331</v>
      </c>
      <c r="I181">
        <v>0.4814814814814814</v>
      </c>
      <c r="J181">
        <v>8.1081081081081002E-2</v>
      </c>
      <c r="M181">
        <f t="shared" si="124"/>
        <v>0.45738045738045741</v>
      </c>
      <c r="N181">
        <f t="shared" si="125"/>
        <v>0.51921226030946921</v>
      </c>
      <c r="O181">
        <f t="shared" si="126"/>
        <v>0.45738045738045741</v>
      </c>
      <c r="P181">
        <f t="shared" si="127"/>
        <v>0.32634032634032634</v>
      </c>
      <c r="Q181">
        <f t="shared" si="128"/>
        <v>0.49300699300699302</v>
      </c>
      <c r="R181">
        <f t="shared" si="129"/>
        <v>0.20512820512820512</v>
      </c>
      <c r="S181">
        <f t="shared" si="130"/>
        <v>5.6980056980057037E-2</v>
      </c>
      <c r="T181">
        <f t="shared" si="131"/>
        <v>0.45738045738045741</v>
      </c>
    </row>
    <row r="182" spans="1:29" x14ac:dyDescent="0.25">
      <c r="A182">
        <v>25</v>
      </c>
      <c r="B182">
        <v>0.54545454545454541</v>
      </c>
      <c r="C182">
        <v>6.25E-2</v>
      </c>
      <c r="D182">
        <v>2.5024061597689998E-2</v>
      </c>
      <c r="E182">
        <v>6.25E-2</v>
      </c>
      <c r="F182">
        <v>0.21428571428571419</v>
      </c>
      <c r="G182">
        <v>7.2727272727272696E-2</v>
      </c>
      <c r="H182">
        <v>0.27500000000000002</v>
      </c>
      <c r="I182">
        <v>0.41666666666666669</v>
      </c>
      <c r="J182">
        <v>6.25E-2</v>
      </c>
      <c r="M182">
        <f t="shared" si="124"/>
        <v>0.48295454545454541</v>
      </c>
      <c r="N182">
        <f t="shared" si="125"/>
        <v>0.52043048385685542</v>
      </c>
      <c r="O182">
        <f t="shared" si="126"/>
        <v>0.48295454545454541</v>
      </c>
      <c r="P182">
        <f t="shared" si="127"/>
        <v>0.33116883116883122</v>
      </c>
      <c r="Q182">
        <f t="shared" si="128"/>
        <v>0.47272727272727272</v>
      </c>
      <c r="R182">
        <f t="shared" si="129"/>
        <v>0.27045454545454539</v>
      </c>
      <c r="S182">
        <f t="shared" si="130"/>
        <v>0.12878787878787873</v>
      </c>
      <c r="T182">
        <f t="shared" si="131"/>
        <v>0.48295454545454541</v>
      </c>
    </row>
    <row r="183" spans="1:29" x14ac:dyDescent="0.25">
      <c r="A183">
        <v>30</v>
      </c>
      <c r="B183">
        <v>0.48780487804878048</v>
      </c>
      <c r="C183">
        <v>7.0175438596491196E-2</v>
      </c>
      <c r="D183">
        <v>2.9836381135707399E-2</v>
      </c>
      <c r="E183">
        <v>5.1724137931034399E-2</v>
      </c>
      <c r="F183">
        <v>0.22</v>
      </c>
      <c r="G183">
        <v>6.0606060606060601E-2</v>
      </c>
      <c r="H183">
        <v>0.35555555555555551</v>
      </c>
      <c r="I183">
        <v>0.45238095238095238</v>
      </c>
      <c r="J183">
        <v>7.0175438596491196E-2</v>
      </c>
      <c r="M183">
        <f t="shared" si="124"/>
        <v>0.41762943945228925</v>
      </c>
      <c r="N183">
        <f t="shared" si="125"/>
        <v>0.45796849691307306</v>
      </c>
      <c r="O183">
        <f t="shared" si="126"/>
        <v>0.43608074011774606</v>
      </c>
      <c r="P183">
        <f t="shared" si="127"/>
        <v>0.2678048780487805</v>
      </c>
      <c r="Q183">
        <f t="shared" si="128"/>
        <v>0.42719881744271987</v>
      </c>
      <c r="R183">
        <f t="shared" si="129"/>
        <v>0.13224932249322496</v>
      </c>
      <c r="S183">
        <f t="shared" si="130"/>
        <v>3.5423925667828093E-2</v>
      </c>
      <c r="T183">
        <f t="shared" si="131"/>
        <v>0.41762943945228925</v>
      </c>
    </row>
    <row r="184" spans="1:29" x14ac:dyDescent="0.25">
      <c r="A184">
        <v>35</v>
      </c>
      <c r="B184">
        <v>0.51063829787234039</v>
      </c>
      <c r="C184">
        <v>5.9701492537313397E-2</v>
      </c>
      <c r="D184">
        <v>3.4648700673724699E-2</v>
      </c>
      <c r="E184">
        <v>5.9701492537313397E-2</v>
      </c>
      <c r="F184">
        <v>0.20338983050847459</v>
      </c>
      <c r="G184">
        <v>6.3291139240506306E-2</v>
      </c>
      <c r="H184">
        <v>0.31481481481481483</v>
      </c>
      <c r="I184">
        <v>0.44897959183673469</v>
      </c>
      <c r="J184">
        <v>5.9701492537313397E-2</v>
      </c>
      <c r="M184">
        <f t="shared" si="124"/>
        <v>0.450936805335027</v>
      </c>
      <c r="N184">
        <f t="shared" si="125"/>
        <v>0.47598959719861567</v>
      </c>
      <c r="O184">
        <f t="shared" si="126"/>
        <v>0.450936805335027</v>
      </c>
      <c r="P184">
        <f t="shared" si="127"/>
        <v>0.3072484673638658</v>
      </c>
      <c r="Q184">
        <f t="shared" si="128"/>
        <v>0.44734715863183405</v>
      </c>
      <c r="R184">
        <f t="shared" si="129"/>
        <v>0.19582348305752556</v>
      </c>
      <c r="S184">
        <f t="shared" si="130"/>
        <v>6.1658706035605693E-2</v>
      </c>
      <c r="T184">
        <f t="shared" si="131"/>
        <v>0.450936805335027</v>
      </c>
    </row>
    <row r="185" spans="1:29" x14ac:dyDescent="0.25">
      <c r="A185">
        <v>40</v>
      </c>
      <c r="B185">
        <v>0.4385964912280701</v>
      </c>
      <c r="C185">
        <v>7.8947368421052599E-2</v>
      </c>
      <c r="D185">
        <v>4.0423484119345501E-2</v>
      </c>
      <c r="E185">
        <v>5.1282051282051197E-2</v>
      </c>
      <c r="F185">
        <v>0.1884057971014492</v>
      </c>
      <c r="G185">
        <v>5.4945054945054903E-2</v>
      </c>
      <c r="H185">
        <v>0.32258064516129031</v>
      </c>
      <c r="I185">
        <v>0.4385964912280701</v>
      </c>
      <c r="J185">
        <v>7.8947368421052599E-2</v>
      </c>
      <c r="M185">
        <f t="shared" si="124"/>
        <v>0.3596491228070175</v>
      </c>
      <c r="N185">
        <f t="shared" si="125"/>
        <v>0.39817300710872461</v>
      </c>
      <c r="O185">
        <f t="shared" si="126"/>
        <v>0.38731443994601888</v>
      </c>
      <c r="P185">
        <f t="shared" si="127"/>
        <v>0.25019069412662087</v>
      </c>
      <c r="Q185">
        <f t="shared" si="128"/>
        <v>0.38365143628301518</v>
      </c>
      <c r="R185">
        <f t="shared" si="129"/>
        <v>0.11601584606677978</v>
      </c>
      <c r="S185">
        <f t="shared" si="130"/>
        <v>0</v>
      </c>
      <c r="T185">
        <f t="shared" si="131"/>
        <v>0.3596491228070175</v>
      </c>
    </row>
    <row r="186" spans="1:29" s="10" customFormat="1" x14ac:dyDescent="0.25">
      <c r="A186" s="10" t="s">
        <v>72</v>
      </c>
      <c r="B186" s="10">
        <f>AVERAGE(B179:B185)</f>
        <v>0.50406779257967937</v>
      </c>
      <c r="C186" s="10">
        <f t="shared" ref="C186:J186" si="171">AVERAGE(C179:C185)</f>
        <v>7.6420723310802963E-2</v>
      </c>
      <c r="D186" s="10">
        <f t="shared" si="171"/>
        <v>2.4749071909803331E-2</v>
      </c>
      <c r="E186" s="10">
        <f t="shared" si="171"/>
        <v>6.1478416172488545E-2</v>
      </c>
      <c r="F186" s="10">
        <f t="shared" si="171"/>
        <v>0.20209616317887777</v>
      </c>
      <c r="G186" s="10">
        <f t="shared" si="171"/>
        <v>4.2432010424777129E-2</v>
      </c>
      <c r="H186" s="10">
        <f t="shared" si="171"/>
        <v>0.38521749201472705</v>
      </c>
      <c r="I186" s="10">
        <f t="shared" si="171"/>
        <v>0.42857284935695245</v>
      </c>
      <c r="J186" s="10">
        <f t="shared" si="171"/>
        <v>7.6420723310802963E-2</v>
      </c>
      <c r="M186" s="10">
        <f t="shared" si="124"/>
        <v>0.42764706926887641</v>
      </c>
      <c r="N186" s="10">
        <f t="shared" si="125"/>
        <v>0.47931872066987602</v>
      </c>
      <c r="O186" s="10">
        <f t="shared" si="126"/>
        <v>0.44258937640719082</v>
      </c>
      <c r="P186" s="10">
        <f t="shared" si="127"/>
        <v>0.30197162940080158</v>
      </c>
      <c r="Q186" s="10">
        <f t="shared" si="128"/>
        <v>0.46163578215490225</v>
      </c>
      <c r="R186" s="10">
        <f t="shared" si="129"/>
        <v>0.11885030056495233</v>
      </c>
      <c r="S186" s="10">
        <f t="shared" si="130"/>
        <v>7.5494943222726929E-2</v>
      </c>
      <c r="T186" s="10">
        <f t="shared" si="131"/>
        <v>0.42764706926887641</v>
      </c>
      <c r="V186" s="10">
        <f>M186/C186</f>
        <v>5.5959568392154111</v>
      </c>
      <c r="W186" s="10">
        <f t="shared" ref="W186" si="172">N186/D186</f>
        <v>19.36713919684453</v>
      </c>
      <c r="X186" s="10">
        <f t="shared" ref="X186" si="173">O186/E186</f>
        <v>7.1991017980266152</v>
      </c>
      <c r="Y186" s="10">
        <f t="shared" ref="Y186" si="174">P186/F186</f>
        <v>1.4941977356270877</v>
      </c>
      <c r="Z186" s="10">
        <f t="shared" ref="Z186" si="175">Q186/G186</f>
        <v>10.879422811541859</v>
      </c>
      <c r="AA186" s="10">
        <f t="shared" ref="AA186" si="176">R186/H186</f>
        <v>0.30852778762291672</v>
      </c>
      <c r="AB186" s="10">
        <f>S186/I186</f>
        <v>0.17615428353896545</v>
      </c>
      <c r="AC186" s="10">
        <f t="shared" ref="AC186" si="177">T186/J186</f>
        <v>5.5959568392154111</v>
      </c>
    </row>
    <row r="187" spans="1:29" x14ac:dyDescent="0.25">
      <c r="A187">
        <v>10</v>
      </c>
      <c r="B187">
        <v>1</v>
      </c>
      <c r="C187">
        <v>0.66666666666666663</v>
      </c>
      <c r="D187">
        <v>0.1041666666666666</v>
      </c>
      <c r="E187">
        <v>0.66666666666666663</v>
      </c>
      <c r="F187">
        <v>0.53846153846153844</v>
      </c>
      <c r="G187">
        <v>1</v>
      </c>
      <c r="H187">
        <v>0.66666666666666663</v>
      </c>
      <c r="I187">
        <v>1</v>
      </c>
      <c r="J187">
        <v>0.66666666666666663</v>
      </c>
      <c r="M187">
        <f t="shared" si="124"/>
        <v>0.33333333333333337</v>
      </c>
      <c r="N187">
        <f t="shared" si="125"/>
        <v>0.89583333333333337</v>
      </c>
      <c r="O187">
        <f t="shared" si="126"/>
        <v>0.33333333333333337</v>
      </c>
      <c r="P187">
        <f t="shared" si="127"/>
        <v>0.46153846153846156</v>
      </c>
      <c r="Q187">
        <f t="shared" si="128"/>
        <v>0</v>
      </c>
      <c r="R187">
        <f t="shared" si="129"/>
        <v>0.33333333333333337</v>
      </c>
      <c r="S187">
        <f t="shared" si="130"/>
        <v>0</v>
      </c>
      <c r="T187">
        <f t="shared" si="131"/>
        <v>0.33333333333333337</v>
      </c>
    </row>
    <row r="188" spans="1:29" x14ac:dyDescent="0.25">
      <c r="A188">
        <v>15</v>
      </c>
      <c r="B188">
        <v>1</v>
      </c>
      <c r="C188">
        <v>0.57894736842105265</v>
      </c>
      <c r="D188">
        <v>0.15625</v>
      </c>
      <c r="E188">
        <v>0.57894736842105265</v>
      </c>
      <c r="F188">
        <v>0.5</v>
      </c>
      <c r="G188">
        <v>0.63636363636363635</v>
      </c>
      <c r="H188">
        <v>1</v>
      </c>
      <c r="I188">
        <v>1</v>
      </c>
      <c r="J188">
        <v>0.5</v>
      </c>
      <c r="M188">
        <f t="shared" si="124"/>
        <v>0.42105263157894735</v>
      </c>
      <c r="N188">
        <f t="shared" si="125"/>
        <v>0.84375</v>
      </c>
      <c r="O188">
        <f t="shared" si="126"/>
        <v>0.42105263157894735</v>
      </c>
      <c r="P188">
        <f t="shared" si="127"/>
        <v>0.5</v>
      </c>
      <c r="Q188">
        <f t="shared" si="128"/>
        <v>0.36363636363636365</v>
      </c>
      <c r="R188">
        <f t="shared" si="129"/>
        <v>0</v>
      </c>
      <c r="S188">
        <f t="shared" si="130"/>
        <v>0</v>
      </c>
      <c r="T188">
        <f t="shared" si="131"/>
        <v>0.5</v>
      </c>
    </row>
    <row r="189" spans="1:29" x14ac:dyDescent="0.25">
      <c r="A189">
        <v>20</v>
      </c>
      <c r="B189">
        <v>0.90476190476190477</v>
      </c>
      <c r="C189">
        <v>0.6</v>
      </c>
      <c r="D189">
        <v>0.20833333333333329</v>
      </c>
      <c r="E189">
        <v>0.42857142857142849</v>
      </c>
      <c r="F189">
        <v>0.53846153846153844</v>
      </c>
      <c r="G189">
        <v>0.6428571428571429</v>
      </c>
      <c r="H189">
        <v>0.6071428571428571</v>
      </c>
      <c r="I189">
        <v>0.73913043478260865</v>
      </c>
      <c r="J189">
        <v>0.6</v>
      </c>
      <c r="M189">
        <f t="shared" si="124"/>
        <v>0.30476190476190479</v>
      </c>
      <c r="N189">
        <f t="shared" si="125"/>
        <v>0.69642857142857151</v>
      </c>
      <c r="O189">
        <f t="shared" si="126"/>
        <v>0.47619047619047628</v>
      </c>
      <c r="P189">
        <f t="shared" si="127"/>
        <v>0.36630036630036633</v>
      </c>
      <c r="Q189">
        <f t="shared" si="128"/>
        <v>0.26190476190476186</v>
      </c>
      <c r="R189">
        <f t="shared" si="129"/>
        <v>0.29761904761904767</v>
      </c>
      <c r="S189">
        <f t="shared" si="130"/>
        <v>0.16563146997929612</v>
      </c>
      <c r="T189">
        <f t="shared" si="131"/>
        <v>0.30476190476190479</v>
      </c>
    </row>
    <row r="190" spans="1:29" x14ac:dyDescent="0.25">
      <c r="A190">
        <v>25</v>
      </c>
      <c r="B190">
        <v>0.8571428571428571</v>
      </c>
      <c r="C190">
        <v>0.45714285714285707</v>
      </c>
      <c r="D190">
        <v>0.27083333333333331</v>
      </c>
      <c r="E190">
        <v>0.40540540540540537</v>
      </c>
      <c r="F190">
        <v>0.45714285714285707</v>
      </c>
      <c r="G190">
        <v>0.56097560975609762</v>
      </c>
      <c r="H190">
        <v>0.69696969696969702</v>
      </c>
      <c r="I190">
        <v>0.64516129032258063</v>
      </c>
      <c r="J190">
        <v>0.41666666666666669</v>
      </c>
      <c r="K190">
        <f>MIN(C187:J193)</f>
        <v>0.1041666666666666</v>
      </c>
      <c r="M190">
        <f t="shared" si="124"/>
        <v>0.4</v>
      </c>
      <c r="N190">
        <f t="shared" si="125"/>
        <v>0.58630952380952372</v>
      </c>
      <c r="O190">
        <f t="shared" si="126"/>
        <v>0.45173745173745172</v>
      </c>
      <c r="P190">
        <f t="shared" si="127"/>
        <v>0.4</v>
      </c>
      <c r="Q190">
        <f t="shared" si="128"/>
        <v>0.29616724738675948</v>
      </c>
      <c r="R190">
        <f t="shared" si="129"/>
        <v>0.16017316017316008</v>
      </c>
      <c r="S190">
        <f t="shared" si="130"/>
        <v>0.21198156682027647</v>
      </c>
      <c r="T190">
        <f t="shared" si="131"/>
        <v>0.44047619047619041</v>
      </c>
    </row>
    <row r="191" spans="1:29" x14ac:dyDescent="0.25">
      <c r="A191">
        <v>30</v>
      </c>
      <c r="B191">
        <v>0.87878787878787878</v>
      </c>
      <c r="C191">
        <v>0.52500000000000002</v>
      </c>
      <c r="D191">
        <v>0.32291666666666669</v>
      </c>
      <c r="E191">
        <v>0.44897959183673469</v>
      </c>
      <c r="F191">
        <v>0.52500000000000002</v>
      </c>
      <c r="G191">
        <v>0.60869565217391308</v>
      </c>
      <c r="H191">
        <v>0.65116279069767447</v>
      </c>
      <c r="I191">
        <v>0.64864864864864868</v>
      </c>
      <c r="J191">
        <v>0.52500000000000002</v>
      </c>
      <c r="K191">
        <f>MAX(C187:J193)</f>
        <v>1</v>
      </c>
      <c r="M191">
        <f t="shared" si="124"/>
        <v>0.35378787878787876</v>
      </c>
      <c r="N191">
        <f t="shared" si="125"/>
        <v>0.55587121212121215</v>
      </c>
      <c r="O191">
        <f t="shared" si="126"/>
        <v>0.42980828695114409</v>
      </c>
      <c r="P191">
        <f t="shared" si="127"/>
        <v>0.35378787878787876</v>
      </c>
      <c r="Q191">
        <f t="shared" si="128"/>
        <v>0.2700922266139657</v>
      </c>
      <c r="R191">
        <f t="shared" si="129"/>
        <v>0.22762508809020432</v>
      </c>
      <c r="S191">
        <f t="shared" si="130"/>
        <v>0.2301392301392301</v>
      </c>
      <c r="T191">
        <f t="shared" si="131"/>
        <v>0.35378787878787876</v>
      </c>
    </row>
    <row r="192" spans="1:29" x14ac:dyDescent="0.25">
      <c r="A192">
        <v>35</v>
      </c>
      <c r="B192">
        <v>0.8</v>
      </c>
      <c r="C192">
        <v>0.57777777777777772</v>
      </c>
      <c r="D192">
        <v>0.375</v>
      </c>
      <c r="E192">
        <v>0.375</v>
      </c>
      <c r="F192">
        <v>0.51063829787234039</v>
      </c>
      <c r="G192">
        <v>0.65384615384615385</v>
      </c>
      <c r="H192">
        <v>0.67346938775510201</v>
      </c>
      <c r="I192">
        <v>0.72727272727272729</v>
      </c>
      <c r="J192">
        <v>0.54347826086956519</v>
      </c>
      <c r="M192">
        <f t="shared" si="124"/>
        <v>0.22222222222222232</v>
      </c>
      <c r="N192">
        <f t="shared" si="125"/>
        <v>0.42500000000000004</v>
      </c>
      <c r="O192">
        <f t="shared" si="126"/>
        <v>0.42500000000000004</v>
      </c>
      <c r="P192">
        <f t="shared" si="127"/>
        <v>0.28936170212765966</v>
      </c>
      <c r="Q192">
        <f t="shared" si="128"/>
        <v>0.14615384615384619</v>
      </c>
      <c r="R192">
        <f t="shared" si="129"/>
        <v>0.12653061224489803</v>
      </c>
      <c r="S192">
        <f t="shared" si="130"/>
        <v>7.2727272727272751E-2</v>
      </c>
      <c r="T192">
        <f t="shared" si="131"/>
        <v>0.25652173913043486</v>
      </c>
    </row>
    <row r="193" spans="1:29" x14ac:dyDescent="0.25">
      <c r="A193">
        <v>40</v>
      </c>
      <c r="B193">
        <v>0.8666666666666667</v>
      </c>
      <c r="C193">
        <v>0.69230769230769229</v>
      </c>
      <c r="D193">
        <v>0.44791666666666669</v>
      </c>
      <c r="E193">
        <v>0.44791666666666669</v>
      </c>
      <c r="F193">
        <v>0.50909090909090904</v>
      </c>
      <c r="G193">
        <v>0.68852459016393441</v>
      </c>
      <c r="H193">
        <v>0.64912280701754388</v>
      </c>
      <c r="I193">
        <v>0.69230769230769229</v>
      </c>
      <c r="J193">
        <v>0.53703703703703709</v>
      </c>
      <c r="M193">
        <f t="shared" si="124"/>
        <v>0.17435897435897441</v>
      </c>
      <c r="N193">
        <f t="shared" si="125"/>
        <v>0.41875000000000001</v>
      </c>
      <c r="O193">
        <f t="shared" si="126"/>
        <v>0.41875000000000001</v>
      </c>
      <c r="P193">
        <f t="shared" si="127"/>
        <v>0.35757575757575766</v>
      </c>
      <c r="Q193">
        <f t="shared" si="128"/>
        <v>0.17814207650273228</v>
      </c>
      <c r="R193">
        <f t="shared" si="129"/>
        <v>0.21754385964912282</v>
      </c>
      <c r="S193">
        <f t="shared" si="130"/>
        <v>0.17435897435897441</v>
      </c>
      <c r="T193">
        <f t="shared" si="131"/>
        <v>0.32962962962962961</v>
      </c>
    </row>
    <row r="194" spans="1:29" s="10" customFormat="1" x14ac:dyDescent="0.25">
      <c r="A194" s="10" t="s">
        <v>73</v>
      </c>
      <c r="B194" s="10">
        <f>AVERAGE(B187:B193)</f>
        <v>0.90105132962275825</v>
      </c>
      <c r="C194" s="10">
        <f t="shared" ref="C194:J194" si="178">AVERAGE(C187:C193)</f>
        <v>0.58540605175943516</v>
      </c>
      <c r="D194" s="10">
        <f t="shared" si="178"/>
        <v>0.26934523809523808</v>
      </c>
      <c r="E194" s="10">
        <f t="shared" si="178"/>
        <v>0.47878387536685058</v>
      </c>
      <c r="F194" s="10">
        <f t="shared" si="178"/>
        <v>0.51125644871845477</v>
      </c>
      <c r="G194" s="10">
        <f t="shared" si="178"/>
        <v>0.68446611216583975</v>
      </c>
      <c r="H194" s="10">
        <f t="shared" si="178"/>
        <v>0.70636202946422011</v>
      </c>
      <c r="I194" s="10">
        <f t="shared" si="178"/>
        <v>0.778931541904894</v>
      </c>
      <c r="J194" s="10">
        <f t="shared" si="178"/>
        <v>0.54126409017713362</v>
      </c>
      <c r="M194" s="10">
        <f t="shared" si="124"/>
        <v>0.31564527786332308</v>
      </c>
      <c r="N194" s="10">
        <f t="shared" si="125"/>
        <v>0.63170609152752011</v>
      </c>
      <c r="O194" s="10">
        <f t="shared" si="126"/>
        <v>0.42226745425590767</v>
      </c>
      <c r="P194" s="10">
        <f t="shared" si="127"/>
        <v>0.38979488090430348</v>
      </c>
      <c r="Q194" s="10">
        <f t="shared" si="128"/>
        <v>0.2165852174569185</v>
      </c>
      <c r="R194" s="10">
        <f t="shared" si="129"/>
        <v>0.19468930015853814</v>
      </c>
      <c r="S194" s="10">
        <f t="shared" si="130"/>
        <v>0.12211978771786425</v>
      </c>
      <c r="T194" s="10">
        <f t="shared" si="131"/>
        <v>0.35978723944562463</v>
      </c>
      <c r="V194" s="10">
        <f>M194/C194</f>
        <v>0.53919032253707089</v>
      </c>
      <c r="W194" s="10">
        <f t="shared" ref="W194" si="179">N194/D194</f>
        <v>2.3453397431297986</v>
      </c>
      <c r="X194" s="10">
        <f t="shared" ref="X194" si="180">O194/E194</f>
        <v>0.88195838661517312</v>
      </c>
      <c r="Y194" s="10">
        <f t="shared" ref="Y194" si="181">P194/F194</f>
        <v>0.76242535792240085</v>
      </c>
      <c r="Z194" s="10">
        <f t="shared" ref="Z194" si="182">Q194/G194</f>
        <v>0.31642942376151112</v>
      </c>
      <c r="AA194" s="10">
        <f t="shared" ref="AA194" si="183">R194/H194</f>
        <v>0.27562254486727034</v>
      </c>
      <c r="AB194" s="10">
        <f>S194/I194</f>
        <v>0.15677858855120652</v>
      </c>
      <c r="AC194" s="10">
        <f t="shared" ref="AC194" si="184">T194/J194</f>
        <v>0.6647166253498934</v>
      </c>
    </row>
    <row r="195" spans="1:29" x14ac:dyDescent="0.25">
      <c r="A195">
        <v>10</v>
      </c>
      <c r="B195">
        <v>0.66666666666666663</v>
      </c>
      <c r="C195">
        <v>0.25</v>
      </c>
      <c r="D195">
        <v>0.3888888888888889</v>
      </c>
      <c r="E195">
        <v>0.25</v>
      </c>
      <c r="F195">
        <v>0.25</v>
      </c>
      <c r="G195">
        <v>0.375</v>
      </c>
      <c r="H195">
        <v>0.66666666666666663</v>
      </c>
      <c r="I195">
        <v>0.53846153846153844</v>
      </c>
      <c r="J195">
        <v>0.25</v>
      </c>
      <c r="M195">
        <f t="shared" si="124"/>
        <v>0.41666666666666663</v>
      </c>
      <c r="N195">
        <f t="shared" si="125"/>
        <v>0.27777777777777773</v>
      </c>
      <c r="O195">
        <f t="shared" si="126"/>
        <v>0.41666666666666663</v>
      </c>
      <c r="P195">
        <f t="shared" si="127"/>
        <v>0.41666666666666663</v>
      </c>
      <c r="Q195">
        <f t="shared" si="128"/>
        <v>0.29166666666666663</v>
      </c>
      <c r="R195">
        <f t="shared" si="129"/>
        <v>0</v>
      </c>
      <c r="S195">
        <f t="shared" si="130"/>
        <v>0.12820512820512819</v>
      </c>
      <c r="T195">
        <f t="shared" si="131"/>
        <v>0.41666666666666663</v>
      </c>
    </row>
    <row r="196" spans="1:29" x14ac:dyDescent="0.25">
      <c r="A196">
        <v>15</v>
      </c>
      <c r="B196">
        <v>0.76470588235294112</v>
      </c>
      <c r="C196">
        <v>0.42857142857142849</v>
      </c>
      <c r="D196">
        <v>0.46666666666666667</v>
      </c>
      <c r="E196">
        <v>0.36363636363636359</v>
      </c>
      <c r="F196">
        <v>0.30434782608695649</v>
      </c>
      <c r="G196">
        <v>0.5714285714285714</v>
      </c>
      <c r="H196">
        <v>0.875</v>
      </c>
      <c r="I196">
        <v>0.76470588235294112</v>
      </c>
      <c r="J196">
        <v>0.42857142857142849</v>
      </c>
      <c r="M196">
        <f t="shared" ref="M196:M241" si="185">B196-C196</f>
        <v>0.33613445378151263</v>
      </c>
      <c r="N196">
        <f t="shared" ref="N196:N241" si="186">B196-D196</f>
        <v>0.29803921568627445</v>
      </c>
      <c r="O196">
        <f t="shared" ref="O196:O241" si="187">B196-E196</f>
        <v>0.40106951871657753</v>
      </c>
      <c r="P196">
        <f t="shared" ref="P196:P241" si="188">B196-F196</f>
        <v>0.46035805626598464</v>
      </c>
      <c r="Q196">
        <f t="shared" ref="Q196:Q241" si="189">B196-G196</f>
        <v>0.19327731092436973</v>
      </c>
      <c r="R196">
        <f t="shared" ref="R196:R241" si="190">B196-H196</f>
        <v>-0.11029411764705888</v>
      </c>
      <c r="S196">
        <f t="shared" ref="S196:S241" si="191">B196-I196</f>
        <v>0</v>
      </c>
      <c r="T196">
        <f t="shared" ref="T196:T241" si="192">B196-J196</f>
        <v>0.33613445378151263</v>
      </c>
    </row>
    <row r="197" spans="1:29" x14ac:dyDescent="0.25">
      <c r="A197">
        <v>20</v>
      </c>
      <c r="B197">
        <v>0.73913043478260865</v>
      </c>
      <c r="C197">
        <v>0.53846153846153844</v>
      </c>
      <c r="D197">
        <v>0.30645161290322581</v>
      </c>
      <c r="E197">
        <v>0.4814814814814814</v>
      </c>
      <c r="F197">
        <v>0.42857142857142849</v>
      </c>
      <c r="G197">
        <v>0.65384615384615385</v>
      </c>
      <c r="H197">
        <v>0.66666666666666663</v>
      </c>
      <c r="I197">
        <v>0.73913043478260865</v>
      </c>
      <c r="J197">
        <v>0.4814814814814814</v>
      </c>
      <c r="M197">
        <f t="shared" si="185"/>
        <v>0.20066889632107021</v>
      </c>
      <c r="N197">
        <f t="shared" si="186"/>
        <v>0.43267882187938284</v>
      </c>
      <c r="O197">
        <f t="shared" si="187"/>
        <v>0.25764895330112725</v>
      </c>
      <c r="P197">
        <f t="shared" si="188"/>
        <v>0.31055900621118016</v>
      </c>
      <c r="Q197">
        <f t="shared" si="189"/>
        <v>8.5284280936454793E-2</v>
      </c>
      <c r="R197">
        <f t="shared" si="190"/>
        <v>7.2463768115942018E-2</v>
      </c>
      <c r="S197">
        <f t="shared" si="191"/>
        <v>0</v>
      </c>
      <c r="T197">
        <f t="shared" si="192"/>
        <v>0.25764895330112725</v>
      </c>
    </row>
    <row r="198" spans="1:29" x14ac:dyDescent="0.25">
      <c r="A198">
        <v>25</v>
      </c>
      <c r="B198">
        <v>0.72413793103448276</v>
      </c>
      <c r="C198">
        <v>0.61290322580645162</v>
      </c>
      <c r="D198">
        <v>7.1839080459770097E-2</v>
      </c>
      <c r="E198">
        <v>0.51515151515151514</v>
      </c>
      <c r="F198">
        <v>0.51515151515151514</v>
      </c>
      <c r="G198">
        <v>0.58823529411764708</v>
      </c>
      <c r="H198">
        <v>0.66666666666666663</v>
      </c>
      <c r="I198">
        <v>0.66666666666666663</v>
      </c>
      <c r="J198">
        <v>0.5625</v>
      </c>
      <c r="M198">
        <f t="shared" si="185"/>
        <v>0.11123470522803114</v>
      </c>
      <c r="N198">
        <f t="shared" si="186"/>
        <v>0.65229885057471271</v>
      </c>
      <c r="O198">
        <f t="shared" si="187"/>
        <v>0.20898641588296762</v>
      </c>
      <c r="P198">
        <f t="shared" si="188"/>
        <v>0.20898641588296762</v>
      </c>
      <c r="Q198">
        <f t="shared" si="189"/>
        <v>0.13590263691683568</v>
      </c>
      <c r="R198">
        <f t="shared" si="190"/>
        <v>5.7471264367816133E-2</v>
      </c>
      <c r="S198">
        <f t="shared" si="191"/>
        <v>5.7471264367816133E-2</v>
      </c>
      <c r="T198">
        <f t="shared" si="192"/>
        <v>0.16163793103448276</v>
      </c>
    </row>
    <row r="199" spans="1:29" x14ac:dyDescent="0.25">
      <c r="A199">
        <v>30</v>
      </c>
      <c r="B199">
        <v>0.74285714285714288</v>
      </c>
      <c r="C199">
        <v>0.60526315789473684</v>
      </c>
      <c r="D199">
        <v>4.0735873850197099E-2</v>
      </c>
      <c r="E199">
        <v>0.48780487804878048</v>
      </c>
      <c r="F199">
        <v>0.5641025641025641</v>
      </c>
      <c r="G199">
        <v>0.58536585365853655</v>
      </c>
      <c r="H199">
        <v>0.64864864864864868</v>
      </c>
      <c r="I199">
        <v>0.69444444444444442</v>
      </c>
      <c r="J199">
        <v>0.60526315789473684</v>
      </c>
      <c r="M199">
        <f t="shared" si="185"/>
        <v>0.13759398496240605</v>
      </c>
      <c r="N199">
        <f t="shared" si="186"/>
        <v>0.70212126900694583</v>
      </c>
      <c r="O199">
        <f t="shared" si="187"/>
        <v>0.25505226480836241</v>
      </c>
      <c r="P199">
        <f t="shared" si="188"/>
        <v>0.17875457875457879</v>
      </c>
      <c r="Q199">
        <f t="shared" si="189"/>
        <v>0.15749128919860633</v>
      </c>
      <c r="R199">
        <f t="shared" si="190"/>
        <v>9.4208494208494198E-2</v>
      </c>
      <c r="S199">
        <f t="shared" si="191"/>
        <v>4.8412698412698463E-2</v>
      </c>
      <c r="T199">
        <f t="shared" si="192"/>
        <v>0.13759398496240605</v>
      </c>
    </row>
    <row r="200" spans="1:29" x14ac:dyDescent="0.25">
      <c r="A200">
        <v>35</v>
      </c>
      <c r="B200">
        <v>0.75609756097560976</v>
      </c>
      <c r="C200">
        <v>0.53191489361702127</v>
      </c>
      <c r="D200">
        <v>4.8620236530880399E-2</v>
      </c>
      <c r="E200">
        <v>0.5</v>
      </c>
      <c r="F200">
        <v>0.53191489361702127</v>
      </c>
      <c r="G200">
        <v>0.55102040816326525</v>
      </c>
      <c r="H200">
        <v>0.7142857142857143</v>
      </c>
      <c r="I200">
        <v>0.7142857142857143</v>
      </c>
      <c r="J200">
        <v>0.53191489361702127</v>
      </c>
      <c r="M200">
        <f t="shared" si="185"/>
        <v>0.22418266735858849</v>
      </c>
      <c r="N200">
        <f t="shared" si="186"/>
        <v>0.70747732444472933</v>
      </c>
      <c r="O200">
        <f t="shared" si="187"/>
        <v>0.25609756097560976</v>
      </c>
      <c r="P200">
        <f t="shared" si="188"/>
        <v>0.22418266735858849</v>
      </c>
      <c r="Q200">
        <f t="shared" si="189"/>
        <v>0.20507715281234451</v>
      </c>
      <c r="R200">
        <f t="shared" si="190"/>
        <v>4.181184668989546E-2</v>
      </c>
      <c r="S200">
        <f t="shared" si="191"/>
        <v>4.181184668989546E-2</v>
      </c>
      <c r="T200">
        <f t="shared" si="192"/>
        <v>0.22418266735858849</v>
      </c>
    </row>
    <row r="201" spans="1:29" x14ac:dyDescent="0.25">
      <c r="A201">
        <v>40</v>
      </c>
      <c r="B201">
        <v>0.7142857142857143</v>
      </c>
      <c r="C201">
        <v>0.52727272727272723</v>
      </c>
      <c r="D201">
        <v>5.78186596583442E-2</v>
      </c>
      <c r="E201">
        <v>0.44827586206896552</v>
      </c>
      <c r="F201">
        <v>0.52727272727272723</v>
      </c>
      <c r="G201">
        <v>0.51724137931034486</v>
      </c>
      <c r="H201">
        <v>0.6470588235294118</v>
      </c>
      <c r="I201">
        <v>0.68</v>
      </c>
      <c r="J201">
        <v>0.5</v>
      </c>
      <c r="M201">
        <f t="shared" si="185"/>
        <v>0.18701298701298708</v>
      </c>
      <c r="N201">
        <f t="shared" si="186"/>
        <v>0.65646705462737009</v>
      </c>
      <c r="O201">
        <f t="shared" si="187"/>
        <v>0.26600985221674878</v>
      </c>
      <c r="P201">
        <f t="shared" si="188"/>
        <v>0.18701298701298708</v>
      </c>
      <c r="Q201">
        <f t="shared" si="189"/>
        <v>0.19704433497536944</v>
      </c>
      <c r="R201">
        <f t="shared" si="190"/>
        <v>6.7226890756302504E-2</v>
      </c>
      <c r="S201">
        <f t="shared" si="191"/>
        <v>3.4285714285714253E-2</v>
      </c>
      <c r="T201">
        <f t="shared" si="192"/>
        <v>0.2142857142857143</v>
      </c>
    </row>
    <row r="202" spans="1:29" s="10" customFormat="1" x14ac:dyDescent="0.25">
      <c r="A202" s="10" t="s">
        <v>44</v>
      </c>
      <c r="B202" s="10">
        <f>AVERAGE(B195:B201)</f>
        <v>0.72969733327930952</v>
      </c>
      <c r="C202" s="10">
        <f t="shared" ref="C202:J202" si="193">AVERAGE(C195:C201)</f>
        <v>0.49919813880341485</v>
      </c>
      <c r="D202" s="10">
        <f t="shared" si="193"/>
        <v>0.19728871699399614</v>
      </c>
      <c r="E202" s="10">
        <f t="shared" si="193"/>
        <v>0.43519287148387231</v>
      </c>
      <c r="F202" s="10">
        <f t="shared" si="193"/>
        <v>0.44590870782888758</v>
      </c>
      <c r="G202" s="10">
        <f t="shared" si="193"/>
        <v>0.5488768086463599</v>
      </c>
      <c r="H202" s="10">
        <f t="shared" si="193"/>
        <v>0.69785616949482498</v>
      </c>
      <c r="I202" s="10">
        <f t="shared" si="193"/>
        <v>0.68538495442770186</v>
      </c>
      <c r="J202" s="10">
        <f t="shared" si="193"/>
        <v>0.4799615659378097</v>
      </c>
      <c r="M202" s="10">
        <f t="shared" si="185"/>
        <v>0.23049919447589468</v>
      </c>
      <c r="N202" s="10">
        <f t="shared" si="186"/>
        <v>0.53240861628531344</v>
      </c>
      <c r="O202" s="10">
        <f t="shared" si="187"/>
        <v>0.29450446179543721</v>
      </c>
      <c r="P202" s="10">
        <f t="shared" si="188"/>
        <v>0.28378862545042194</v>
      </c>
      <c r="Q202" s="10">
        <f t="shared" si="189"/>
        <v>0.18082052463294962</v>
      </c>
      <c r="R202" s="10">
        <f t="shared" si="190"/>
        <v>3.1841163784484539E-2</v>
      </c>
      <c r="S202" s="10">
        <f t="shared" si="191"/>
        <v>4.4312378851607659E-2</v>
      </c>
      <c r="T202" s="10">
        <f t="shared" si="192"/>
        <v>0.24973576734149983</v>
      </c>
      <c r="V202" s="10">
        <f>M202/C202</f>
        <v>0.46173888994939882</v>
      </c>
      <c r="W202" s="10">
        <f t="shared" ref="W202" si="194">N202/D202</f>
        <v>2.6986267861507538</v>
      </c>
      <c r="X202" s="10">
        <f t="shared" ref="X202" si="195">O202/E202</f>
        <v>0.67672170454278957</v>
      </c>
      <c r="Y202" s="10">
        <f t="shared" ref="Y202" si="196">P202/F202</f>
        <v>0.63642763746906372</v>
      </c>
      <c r="Z202" s="10">
        <f t="shared" ref="Z202" si="197">Q202/G202</f>
        <v>0.3294373560414936</v>
      </c>
      <c r="AA202" s="10">
        <f t="shared" ref="AA202" si="198">R202/H202</f>
        <v>4.5627115122496113E-2</v>
      </c>
      <c r="AB202" s="10">
        <f>S202/I202</f>
        <v>6.4653270494693896E-2</v>
      </c>
      <c r="AC202" s="10">
        <f t="shared" ref="AC202" si="199">T202/J202</f>
        <v>0.52032451151278014</v>
      </c>
    </row>
    <row r="203" spans="1:29" x14ac:dyDescent="0.25">
      <c r="A203">
        <v>10</v>
      </c>
      <c r="B203">
        <v>0.81818181818181823</v>
      </c>
      <c r="C203">
        <v>0.33333333333333331</v>
      </c>
      <c r="D203">
        <v>0.21276595744680851</v>
      </c>
      <c r="E203">
        <v>0.25</v>
      </c>
      <c r="F203">
        <v>0.42857142857142849</v>
      </c>
      <c r="G203">
        <v>0.4375</v>
      </c>
      <c r="H203">
        <v>0.53846153846153844</v>
      </c>
      <c r="I203">
        <v>0.81818181818181823</v>
      </c>
      <c r="J203">
        <v>0.33333333333333331</v>
      </c>
      <c r="M203">
        <f t="shared" si="185"/>
        <v>0.48484848484848492</v>
      </c>
      <c r="N203">
        <f t="shared" si="186"/>
        <v>0.60541586073500975</v>
      </c>
      <c r="O203">
        <f t="shared" si="187"/>
        <v>0.56818181818181823</v>
      </c>
      <c r="P203">
        <f t="shared" si="188"/>
        <v>0.38961038961038974</v>
      </c>
      <c r="Q203">
        <f t="shared" si="189"/>
        <v>0.38068181818181823</v>
      </c>
      <c r="R203">
        <f t="shared" si="190"/>
        <v>0.2797202797202798</v>
      </c>
      <c r="S203">
        <f t="shared" si="191"/>
        <v>0</v>
      </c>
      <c r="T203">
        <f t="shared" si="192"/>
        <v>0.48484848484848492</v>
      </c>
    </row>
    <row r="204" spans="1:29" x14ac:dyDescent="0.25">
      <c r="A204">
        <v>15</v>
      </c>
      <c r="B204">
        <v>0.76470588235294112</v>
      </c>
      <c r="C204">
        <v>0.5</v>
      </c>
      <c r="D204">
        <v>0.24193548387096769</v>
      </c>
      <c r="E204">
        <v>0.36363636363636359</v>
      </c>
      <c r="F204">
        <v>0.42857142857142849</v>
      </c>
      <c r="G204">
        <v>0.48</v>
      </c>
      <c r="H204">
        <v>0.66666666666666663</v>
      </c>
      <c r="I204">
        <v>0.66666666666666663</v>
      </c>
      <c r="J204">
        <v>0.5</v>
      </c>
      <c r="M204">
        <f t="shared" si="185"/>
        <v>0.26470588235294112</v>
      </c>
      <c r="N204">
        <f t="shared" si="186"/>
        <v>0.52277039848197338</v>
      </c>
      <c r="O204">
        <f t="shared" si="187"/>
        <v>0.40106951871657753</v>
      </c>
      <c r="P204">
        <f t="shared" si="188"/>
        <v>0.33613445378151263</v>
      </c>
      <c r="Q204">
        <f t="shared" si="189"/>
        <v>0.28470588235294114</v>
      </c>
      <c r="R204">
        <f t="shared" si="190"/>
        <v>9.8039215686274495E-2</v>
      </c>
      <c r="S204">
        <f t="shared" si="191"/>
        <v>9.8039215686274495E-2</v>
      </c>
      <c r="T204">
        <f t="shared" si="192"/>
        <v>0.26470588235294112</v>
      </c>
    </row>
    <row r="205" spans="1:29" x14ac:dyDescent="0.25">
      <c r="A205">
        <v>20</v>
      </c>
      <c r="B205">
        <v>0.90476190476190477</v>
      </c>
      <c r="C205">
        <v>0.53846153846153844</v>
      </c>
      <c r="D205">
        <v>0.32258064516129031</v>
      </c>
      <c r="E205">
        <v>0.42857142857142849</v>
      </c>
      <c r="F205">
        <v>0.53846153846153844</v>
      </c>
      <c r="G205">
        <v>0.54285714285714282</v>
      </c>
      <c r="H205">
        <v>0.90476190476190477</v>
      </c>
      <c r="I205">
        <v>0.81818181818181823</v>
      </c>
      <c r="J205">
        <v>0.53846153846153844</v>
      </c>
      <c r="M205">
        <f t="shared" si="185"/>
        <v>0.36630036630036633</v>
      </c>
      <c r="N205">
        <f t="shared" si="186"/>
        <v>0.5821812596006144</v>
      </c>
      <c r="O205">
        <f t="shared" si="187"/>
        <v>0.47619047619047628</v>
      </c>
      <c r="P205">
        <f t="shared" si="188"/>
        <v>0.36630036630036633</v>
      </c>
      <c r="Q205">
        <f t="shared" si="189"/>
        <v>0.36190476190476195</v>
      </c>
      <c r="R205">
        <f t="shared" si="190"/>
        <v>0</v>
      </c>
      <c r="S205">
        <f t="shared" si="191"/>
        <v>8.6580086580086535E-2</v>
      </c>
      <c r="T205">
        <f t="shared" si="192"/>
        <v>0.36630036630036633</v>
      </c>
    </row>
    <row r="206" spans="1:29" x14ac:dyDescent="0.25">
      <c r="A206">
        <v>25</v>
      </c>
      <c r="B206">
        <v>0.7857142857142857</v>
      </c>
      <c r="C206">
        <v>0.5625</v>
      </c>
      <c r="D206">
        <v>0.40322580645161288</v>
      </c>
      <c r="E206">
        <v>0.51515151515151514</v>
      </c>
      <c r="F206">
        <v>0.5625</v>
      </c>
      <c r="G206">
        <v>0.625</v>
      </c>
      <c r="H206">
        <v>0.7857142857142857</v>
      </c>
      <c r="I206">
        <v>0.7857142857142857</v>
      </c>
      <c r="J206">
        <v>0.5625</v>
      </c>
      <c r="K206">
        <f>MIN(C203:J209)</f>
        <v>0.21276595744680851</v>
      </c>
      <c r="M206">
        <f t="shared" si="185"/>
        <v>0.2232142857142857</v>
      </c>
      <c r="N206">
        <f t="shared" si="186"/>
        <v>0.38248847926267282</v>
      </c>
      <c r="O206">
        <f t="shared" si="187"/>
        <v>0.27056277056277056</v>
      </c>
      <c r="P206">
        <f t="shared" si="188"/>
        <v>0.2232142857142857</v>
      </c>
      <c r="Q206">
        <f t="shared" si="189"/>
        <v>0.1607142857142857</v>
      </c>
      <c r="R206">
        <f t="shared" si="190"/>
        <v>0</v>
      </c>
      <c r="S206">
        <f t="shared" si="191"/>
        <v>0</v>
      </c>
      <c r="T206">
        <f t="shared" si="192"/>
        <v>0.2232142857142857</v>
      </c>
    </row>
    <row r="207" spans="1:29" x14ac:dyDescent="0.25">
      <c r="A207">
        <v>30</v>
      </c>
      <c r="B207">
        <v>0.90625</v>
      </c>
      <c r="C207">
        <v>0.69444444444444442</v>
      </c>
      <c r="D207">
        <v>0.5</v>
      </c>
      <c r="E207">
        <v>0.5641025641025641</v>
      </c>
      <c r="F207">
        <v>0.69444444444444442</v>
      </c>
      <c r="G207">
        <v>0.67391304347826086</v>
      </c>
      <c r="H207">
        <v>0.69444444444444442</v>
      </c>
      <c r="I207">
        <v>0.79411764705882348</v>
      </c>
      <c r="J207">
        <v>0.69444444444444442</v>
      </c>
      <c r="K207">
        <f>MAX(C203:J209)</f>
        <v>0.94594594594594605</v>
      </c>
      <c r="M207">
        <f t="shared" si="185"/>
        <v>0.21180555555555558</v>
      </c>
      <c r="N207">
        <f t="shared" si="186"/>
        <v>0.40625</v>
      </c>
      <c r="O207">
        <f t="shared" si="187"/>
        <v>0.3421474358974359</v>
      </c>
      <c r="P207">
        <f t="shared" si="188"/>
        <v>0.21180555555555558</v>
      </c>
      <c r="Q207">
        <f t="shared" si="189"/>
        <v>0.23233695652173914</v>
      </c>
      <c r="R207">
        <f t="shared" si="190"/>
        <v>0.21180555555555558</v>
      </c>
      <c r="S207">
        <f t="shared" si="191"/>
        <v>0.11213235294117652</v>
      </c>
      <c r="T207">
        <f t="shared" si="192"/>
        <v>0.21180555555555558</v>
      </c>
    </row>
    <row r="208" spans="1:29" x14ac:dyDescent="0.25">
      <c r="A208">
        <v>35</v>
      </c>
      <c r="B208">
        <v>0.94594594594594605</v>
      </c>
      <c r="C208">
        <v>0.84615384615384615</v>
      </c>
      <c r="D208">
        <v>0.59677419354838712</v>
      </c>
      <c r="E208">
        <v>0.75609756097560976</v>
      </c>
      <c r="F208">
        <v>0.89473684210526316</v>
      </c>
      <c r="G208">
        <v>0.69811320754716977</v>
      </c>
      <c r="H208">
        <v>0.67441860465116277</v>
      </c>
      <c r="I208">
        <v>0.94594594594594605</v>
      </c>
      <c r="J208">
        <v>0.8</v>
      </c>
      <c r="M208">
        <f t="shared" si="185"/>
        <v>9.9792099792099909E-2</v>
      </c>
      <c r="N208">
        <f t="shared" si="186"/>
        <v>0.34917175239755893</v>
      </c>
      <c r="O208">
        <f t="shared" si="187"/>
        <v>0.18984838497033629</v>
      </c>
      <c r="P208">
        <f t="shared" si="188"/>
        <v>5.120910384068289E-2</v>
      </c>
      <c r="Q208">
        <f t="shared" si="189"/>
        <v>0.24783273839877629</v>
      </c>
      <c r="R208">
        <f t="shared" si="190"/>
        <v>0.27152734129478329</v>
      </c>
      <c r="S208">
        <f t="shared" si="191"/>
        <v>0</v>
      </c>
      <c r="T208">
        <f t="shared" si="192"/>
        <v>0.14594594594594601</v>
      </c>
    </row>
    <row r="209" spans="1:29" x14ac:dyDescent="0.25">
      <c r="A209">
        <v>40</v>
      </c>
      <c r="B209">
        <v>0.93023255813953476</v>
      </c>
      <c r="C209">
        <v>0.88636363636363635</v>
      </c>
      <c r="D209">
        <v>0.69354838709677424</v>
      </c>
      <c r="E209">
        <v>0.80434782608695654</v>
      </c>
      <c r="F209">
        <v>0.88636363636363635</v>
      </c>
      <c r="G209">
        <v>0.72881355932203384</v>
      </c>
      <c r="H209">
        <v>0.6470588235294118</v>
      </c>
      <c r="I209">
        <v>0.93023255813953476</v>
      </c>
      <c r="J209">
        <v>0.88636363636363635</v>
      </c>
      <c r="M209">
        <f t="shared" si="185"/>
        <v>4.3868921775898406E-2</v>
      </c>
      <c r="N209">
        <f t="shared" si="186"/>
        <v>0.23668417104276052</v>
      </c>
      <c r="O209">
        <f t="shared" si="187"/>
        <v>0.12588473205257822</v>
      </c>
      <c r="P209">
        <f t="shared" si="188"/>
        <v>4.3868921775898406E-2</v>
      </c>
      <c r="Q209">
        <f t="shared" si="189"/>
        <v>0.20141899881750092</v>
      </c>
      <c r="R209">
        <f t="shared" si="190"/>
        <v>0.28317373461012296</v>
      </c>
      <c r="S209">
        <f t="shared" si="191"/>
        <v>0</v>
      </c>
      <c r="T209">
        <f t="shared" si="192"/>
        <v>4.3868921775898406E-2</v>
      </c>
    </row>
    <row r="210" spans="1:29" s="10" customFormat="1" x14ac:dyDescent="0.25">
      <c r="A210" s="10" t="s">
        <v>14</v>
      </c>
      <c r="B210" s="10">
        <f>AVERAGE(B203:B209)</f>
        <v>0.86511319929949004</v>
      </c>
      <c r="C210" s="10">
        <f t="shared" ref="C210:J210" si="200">AVERAGE(C203:C209)</f>
        <v>0.62303668553668545</v>
      </c>
      <c r="D210" s="10">
        <f t="shared" si="200"/>
        <v>0.42440435336797727</v>
      </c>
      <c r="E210" s="10">
        <f t="shared" si="200"/>
        <v>0.52598675121777683</v>
      </c>
      <c r="F210" s="10">
        <f t="shared" si="200"/>
        <v>0.63337847407396275</v>
      </c>
      <c r="G210" s="10">
        <f t="shared" si="200"/>
        <v>0.59802813617208683</v>
      </c>
      <c r="H210" s="10">
        <f t="shared" si="200"/>
        <v>0.70164660974705928</v>
      </c>
      <c r="I210" s="10">
        <f t="shared" si="200"/>
        <v>0.82272010569841325</v>
      </c>
      <c r="J210" s="10">
        <f t="shared" si="200"/>
        <v>0.61644327894327888</v>
      </c>
      <c r="M210" s="10">
        <f t="shared" si="185"/>
        <v>0.24207651376280459</v>
      </c>
      <c r="N210" s="10">
        <f t="shared" si="186"/>
        <v>0.44070884593151277</v>
      </c>
      <c r="O210" s="10">
        <f t="shared" si="187"/>
        <v>0.33912644808171322</v>
      </c>
      <c r="P210" s="10">
        <f t="shared" si="188"/>
        <v>0.23173472522552729</v>
      </c>
      <c r="Q210" s="10">
        <f t="shared" si="189"/>
        <v>0.26708506312740321</v>
      </c>
      <c r="R210" s="10">
        <f t="shared" si="190"/>
        <v>0.16346658955243076</v>
      </c>
      <c r="S210" s="10">
        <f t="shared" si="191"/>
        <v>4.2393093601076792E-2</v>
      </c>
      <c r="T210" s="10">
        <f t="shared" si="192"/>
        <v>0.24866992035621116</v>
      </c>
      <c r="V210" s="10">
        <f>M210/C210</f>
        <v>0.38854295321996846</v>
      </c>
      <c r="W210" s="10">
        <f t="shared" ref="W210" si="201">N210/D210</f>
        <v>1.0384173546622384</v>
      </c>
      <c r="X210" s="10">
        <f t="shared" ref="X210" si="202">O210/E210</f>
        <v>0.64474332727309147</v>
      </c>
      <c r="Y210" s="10">
        <f t="shared" ref="Y210" si="203">P210/F210</f>
        <v>0.36587085717483109</v>
      </c>
      <c r="Z210" s="10">
        <f t="shared" ref="Z210" si="204">Q210/G210</f>
        <v>0.44660952716537</v>
      </c>
      <c r="AA210" s="10">
        <f t="shared" ref="AA210" si="205">R210/H210</f>
        <v>0.23297567077443701</v>
      </c>
      <c r="AB210" s="10">
        <f>S210/I210</f>
        <v>5.1527965960050263E-2</v>
      </c>
      <c r="AC210" s="10">
        <f t="shared" ref="AC210" si="206">T210/J210</f>
        <v>0.40339464935441716</v>
      </c>
    </row>
    <row r="211" spans="1:29" x14ac:dyDescent="0.25">
      <c r="A211">
        <v>10</v>
      </c>
      <c r="B211">
        <v>0.5</v>
      </c>
      <c r="C211">
        <v>0.4</v>
      </c>
      <c r="D211">
        <v>0.4375</v>
      </c>
      <c r="E211">
        <v>0.4</v>
      </c>
      <c r="F211">
        <v>0.5</v>
      </c>
      <c r="G211">
        <v>0.375</v>
      </c>
      <c r="H211">
        <v>0.23529411764705879</v>
      </c>
      <c r="I211">
        <v>0.5</v>
      </c>
      <c r="J211">
        <v>0.4</v>
      </c>
      <c r="M211">
        <f t="shared" si="185"/>
        <v>9.9999999999999978E-2</v>
      </c>
      <c r="N211">
        <f t="shared" si="186"/>
        <v>6.25E-2</v>
      </c>
      <c r="O211">
        <f t="shared" si="187"/>
        <v>9.9999999999999978E-2</v>
      </c>
      <c r="P211">
        <f t="shared" si="188"/>
        <v>0</v>
      </c>
      <c r="Q211">
        <f t="shared" si="189"/>
        <v>0.125</v>
      </c>
      <c r="R211">
        <f t="shared" si="190"/>
        <v>0.26470588235294124</v>
      </c>
      <c r="S211">
        <f t="shared" si="191"/>
        <v>0</v>
      </c>
      <c r="T211">
        <f t="shared" si="192"/>
        <v>9.9999999999999978E-2</v>
      </c>
    </row>
    <row r="212" spans="1:29" x14ac:dyDescent="0.25">
      <c r="A212">
        <v>15</v>
      </c>
      <c r="B212">
        <v>0.47619047619047611</v>
      </c>
      <c r="C212">
        <v>0.47619047619047611</v>
      </c>
      <c r="D212">
        <v>0.47826086956521741</v>
      </c>
      <c r="E212">
        <v>0.40909090909090912</v>
      </c>
      <c r="F212">
        <v>0.47619047619047611</v>
      </c>
      <c r="G212">
        <v>0.45454545454545447</v>
      </c>
      <c r="H212">
        <v>0.29166666666666669</v>
      </c>
      <c r="I212">
        <v>0.47619047619047611</v>
      </c>
      <c r="J212">
        <v>0.47619047619047611</v>
      </c>
      <c r="M212">
        <f t="shared" si="185"/>
        <v>0</v>
      </c>
      <c r="N212">
        <f t="shared" si="186"/>
        <v>-2.0703933747412973E-3</v>
      </c>
      <c r="O212">
        <f t="shared" si="187"/>
        <v>6.7099567099566992E-2</v>
      </c>
      <c r="P212">
        <f t="shared" si="188"/>
        <v>0</v>
      </c>
      <c r="Q212">
        <f t="shared" si="189"/>
        <v>2.1645021645021634E-2</v>
      </c>
      <c r="R212">
        <f t="shared" si="190"/>
        <v>0.18452380952380942</v>
      </c>
      <c r="S212">
        <f t="shared" si="191"/>
        <v>0</v>
      </c>
      <c r="T212">
        <f t="shared" si="192"/>
        <v>0</v>
      </c>
    </row>
    <row r="213" spans="1:29" x14ac:dyDescent="0.25">
      <c r="A213">
        <v>20</v>
      </c>
      <c r="B213">
        <v>0.57692307692307687</v>
      </c>
      <c r="C213">
        <v>0.4137931034482758</v>
      </c>
      <c r="D213">
        <v>0.5</v>
      </c>
      <c r="E213">
        <v>0.4137931034482758</v>
      </c>
      <c r="F213">
        <v>0.4642857142857143</v>
      </c>
      <c r="G213">
        <v>0.55555555555555558</v>
      </c>
      <c r="H213">
        <v>0.4137931034482758</v>
      </c>
      <c r="I213">
        <v>0.51851851851851849</v>
      </c>
      <c r="J213">
        <v>0.4137931034482758</v>
      </c>
      <c r="M213">
        <f t="shared" si="185"/>
        <v>0.16312997347480107</v>
      </c>
      <c r="N213">
        <f t="shared" si="186"/>
        <v>7.6923076923076872E-2</v>
      </c>
      <c r="O213">
        <f t="shared" si="187"/>
        <v>0.16312997347480107</v>
      </c>
      <c r="P213">
        <f t="shared" si="188"/>
        <v>0.11263736263736257</v>
      </c>
      <c r="Q213">
        <f t="shared" si="189"/>
        <v>2.1367521367521292E-2</v>
      </c>
      <c r="R213">
        <f t="shared" si="190"/>
        <v>0.16312997347480107</v>
      </c>
      <c r="S213">
        <f t="shared" si="191"/>
        <v>5.8404558404558382E-2</v>
      </c>
      <c r="T213">
        <f t="shared" si="192"/>
        <v>0.16312997347480107</v>
      </c>
    </row>
    <row r="214" spans="1:29" x14ac:dyDescent="0.25">
      <c r="A214">
        <v>25</v>
      </c>
      <c r="B214">
        <v>0.54545454545454541</v>
      </c>
      <c r="C214">
        <v>0.45714285714285707</v>
      </c>
      <c r="D214">
        <v>0.5</v>
      </c>
      <c r="E214">
        <v>0.41666666666666669</v>
      </c>
      <c r="F214">
        <v>0.5</v>
      </c>
      <c r="G214">
        <v>0.55882352941176472</v>
      </c>
      <c r="H214">
        <v>0.54545454545454541</v>
      </c>
      <c r="I214">
        <v>0.54545454545454541</v>
      </c>
      <c r="J214">
        <v>0.45714285714285707</v>
      </c>
      <c r="M214">
        <f t="shared" si="185"/>
        <v>8.8311688311688341E-2</v>
      </c>
      <c r="N214">
        <f t="shared" si="186"/>
        <v>4.5454545454545414E-2</v>
      </c>
      <c r="O214">
        <f t="shared" si="187"/>
        <v>0.12878787878787873</v>
      </c>
      <c r="P214">
        <f t="shared" si="188"/>
        <v>4.5454545454545414E-2</v>
      </c>
      <c r="Q214">
        <f t="shared" si="189"/>
        <v>-1.3368983957219305E-2</v>
      </c>
      <c r="R214">
        <f t="shared" si="190"/>
        <v>0</v>
      </c>
      <c r="S214">
        <f t="shared" si="191"/>
        <v>0</v>
      </c>
      <c r="T214">
        <f t="shared" si="192"/>
        <v>8.8311688311688341E-2</v>
      </c>
    </row>
    <row r="215" spans="1:29" x14ac:dyDescent="0.25">
      <c r="A215">
        <v>30</v>
      </c>
      <c r="B215">
        <v>0.60526315789473684</v>
      </c>
      <c r="C215">
        <v>0.41860465116279072</v>
      </c>
      <c r="D215">
        <v>0.55319148936170215</v>
      </c>
      <c r="E215">
        <v>0.3863636363636363</v>
      </c>
      <c r="F215">
        <v>0.52500000000000002</v>
      </c>
      <c r="G215">
        <v>0.47727272727272729</v>
      </c>
      <c r="H215">
        <v>0.52500000000000002</v>
      </c>
      <c r="I215">
        <v>0.5641025641025641</v>
      </c>
      <c r="J215">
        <v>0.41860465116279072</v>
      </c>
      <c r="M215">
        <f t="shared" si="185"/>
        <v>0.18665850673194612</v>
      </c>
      <c r="N215">
        <f t="shared" si="186"/>
        <v>5.2071668533034687E-2</v>
      </c>
      <c r="O215">
        <f t="shared" si="187"/>
        <v>0.21889952153110054</v>
      </c>
      <c r="P215">
        <f t="shared" si="188"/>
        <v>8.0263157894736814E-2</v>
      </c>
      <c r="Q215">
        <f t="shared" si="189"/>
        <v>0.12799043062200954</v>
      </c>
      <c r="R215">
        <f t="shared" si="190"/>
        <v>8.0263157894736814E-2</v>
      </c>
      <c r="S215">
        <f t="shared" si="191"/>
        <v>4.1160593792172739E-2</v>
      </c>
      <c r="T215">
        <f t="shared" si="192"/>
        <v>0.18665850673194612</v>
      </c>
    </row>
    <row r="216" spans="1:29" x14ac:dyDescent="0.25">
      <c r="A216">
        <v>35</v>
      </c>
      <c r="B216">
        <v>0.54347826086956519</v>
      </c>
      <c r="C216">
        <v>0.39215686274509798</v>
      </c>
      <c r="D216">
        <v>0.50877192982456143</v>
      </c>
      <c r="E216">
        <v>0.33962264150943389</v>
      </c>
      <c r="F216">
        <v>0.47916666666666669</v>
      </c>
      <c r="G216">
        <v>0.49019607843137247</v>
      </c>
      <c r="H216">
        <v>0.54347826086956519</v>
      </c>
      <c r="I216">
        <v>0.51063829787234039</v>
      </c>
      <c r="J216">
        <v>0.39215686274509798</v>
      </c>
      <c r="M216">
        <f t="shared" si="185"/>
        <v>0.15132139812446721</v>
      </c>
      <c r="N216">
        <f t="shared" si="186"/>
        <v>3.4706331045003758E-2</v>
      </c>
      <c r="O216">
        <f t="shared" si="187"/>
        <v>0.2038556193601313</v>
      </c>
      <c r="P216">
        <f t="shared" si="188"/>
        <v>6.4311594202898503E-2</v>
      </c>
      <c r="Q216">
        <f t="shared" si="189"/>
        <v>5.3282182438192716E-2</v>
      </c>
      <c r="R216">
        <f t="shared" si="190"/>
        <v>0</v>
      </c>
      <c r="S216">
        <f t="shared" si="191"/>
        <v>3.2839962997224803E-2</v>
      </c>
      <c r="T216">
        <f t="shared" si="192"/>
        <v>0.15132139812446721</v>
      </c>
    </row>
    <row r="217" spans="1:29" x14ac:dyDescent="0.25">
      <c r="A217">
        <v>40</v>
      </c>
      <c r="B217">
        <v>0.58823529411764708</v>
      </c>
      <c r="C217">
        <v>0.4464285714285714</v>
      </c>
      <c r="D217">
        <v>0.44594594594594589</v>
      </c>
      <c r="E217">
        <v>0.35</v>
      </c>
      <c r="F217">
        <v>0.47272727272727272</v>
      </c>
      <c r="G217">
        <v>0.52542372881355937</v>
      </c>
      <c r="H217">
        <v>0.55769230769230771</v>
      </c>
      <c r="I217">
        <v>0.55769230769230771</v>
      </c>
      <c r="J217">
        <v>0.42105263157894729</v>
      </c>
      <c r="M217">
        <f t="shared" si="185"/>
        <v>0.14180672268907568</v>
      </c>
      <c r="N217">
        <f t="shared" si="186"/>
        <v>0.14228934817170119</v>
      </c>
      <c r="O217">
        <f t="shared" si="187"/>
        <v>0.2382352941176471</v>
      </c>
      <c r="P217">
        <f t="shared" si="188"/>
        <v>0.11550802139037436</v>
      </c>
      <c r="Q217">
        <f t="shared" si="189"/>
        <v>6.2811565304087713E-2</v>
      </c>
      <c r="R217">
        <f t="shared" si="190"/>
        <v>3.0542986425339369E-2</v>
      </c>
      <c r="S217">
        <f t="shared" si="191"/>
        <v>3.0542986425339369E-2</v>
      </c>
      <c r="T217">
        <f t="shared" si="192"/>
        <v>0.16718266253869979</v>
      </c>
    </row>
    <row r="218" spans="1:29" s="10" customFormat="1" x14ac:dyDescent="0.25">
      <c r="A218" s="10" t="s">
        <v>15</v>
      </c>
      <c r="B218" s="10">
        <f>AVERAGE(B211:B217)</f>
        <v>0.54793497306429251</v>
      </c>
      <c r="C218" s="10">
        <f t="shared" ref="C218:J218" si="207">AVERAGE(C211:C217)</f>
        <v>0.42918807458829555</v>
      </c>
      <c r="D218" s="10">
        <f t="shared" si="207"/>
        <v>0.48909574781391812</v>
      </c>
      <c r="E218" s="10">
        <f t="shared" si="207"/>
        <v>0.38793385101127459</v>
      </c>
      <c r="F218" s="10">
        <f t="shared" si="207"/>
        <v>0.48819573283858991</v>
      </c>
      <c r="G218" s="10">
        <f t="shared" si="207"/>
        <v>0.49097386771863338</v>
      </c>
      <c r="H218" s="10">
        <f t="shared" si="207"/>
        <v>0.44462557168263128</v>
      </c>
      <c r="I218" s="10">
        <f t="shared" si="207"/>
        <v>0.52465667283296458</v>
      </c>
      <c r="J218" s="10">
        <f t="shared" si="207"/>
        <v>0.42556294032406361</v>
      </c>
      <c r="M218" s="10">
        <f t="shared" si="185"/>
        <v>0.11874689847599695</v>
      </c>
      <c r="N218" s="10">
        <f t="shared" si="186"/>
        <v>5.8839225250374383E-2</v>
      </c>
      <c r="O218" s="10">
        <f t="shared" si="187"/>
        <v>0.16000112205301792</v>
      </c>
      <c r="P218" s="10">
        <f t="shared" si="188"/>
        <v>5.9739240225702595E-2</v>
      </c>
      <c r="Q218" s="10">
        <f t="shared" si="189"/>
        <v>5.6961105345659124E-2</v>
      </c>
      <c r="R218" s="10">
        <f t="shared" si="190"/>
        <v>0.10330940138166123</v>
      </c>
      <c r="S218" s="10">
        <f t="shared" si="191"/>
        <v>2.3278300231327931E-2</v>
      </c>
      <c r="T218" s="10">
        <f t="shared" si="192"/>
        <v>0.1223720327402289</v>
      </c>
      <c r="V218" s="10">
        <f>M218/C218</f>
        <v>0.27667800087387451</v>
      </c>
      <c r="W218" s="10">
        <f t="shared" ref="W218" si="208">N218/D218</f>
        <v>0.12030205846884691</v>
      </c>
      <c r="X218" s="10">
        <f t="shared" ref="X218" si="209">O218/E218</f>
        <v>0.41244434234322019</v>
      </c>
      <c r="Y218" s="10">
        <f t="shared" ref="Y218" si="210">P218/F218</f>
        <v>0.12236739530342008</v>
      </c>
      <c r="Z218" s="10">
        <f t="shared" ref="Z218" si="211">Q218/G218</f>
        <v>0.11601657255270115</v>
      </c>
      <c r="AA218" s="10">
        <f t="shared" ref="AA218" si="212">R218/H218</f>
        <v>0.23235146145710736</v>
      </c>
      <c r="AB218" s="10">
        <f>S218/I218</f>
        <v>4.4368634645649621E-2</v>
      </c>
      <c r="AC218" s="10">
        <f t="shared" ref="AC218" si="213">T218/J218</f>
        <v>0.28755331149616398</v>
      </c>
    </row>
    <row r="219" spans="1:29" x14ac:dyDescent="0.25">
      <c r="A219">
        <v>10</v>
      </c>
      <c r="B219">
        <v>0.3125</v>
      </c>
      <c r="C219">
        <v>0.3125</v>
      </c>
      <c r="D219">
        <v>0.23529411764705879</v>
      </c>
      <c r="E219">
        <v>0.3125</v>
      </c>
      <c r="F219">
        <v>0.4</v>
      </c>
      <c r="G219">
        <v>0.3125</v>
      </c>
      <c r="H219">
        <v>0.3125</v>
      </c>
      <c r="I219">
        <v>0.3125</v>
      </c>
      <c r="J219">
        <v>0.3125</v>
      </c>
      <c r="M219">
        <f t="shared" si="185"/>
        <v>0</v>
      </c>
      <c r="N219">
        <f t="shared" si="186"/>
        <v>7.7205882352941207E-2</v>
      </c>
      <c r="O219">
        <f t="shared" si="187"/>
        <v>0</v>
      </c>
      <c r="P219">
        <f t="shared" si="188"/>
        <v>-8.7500000000000022E-2</v>
      </c>
      <c r="Q219">
        <f t="shared" si="189"/>
        <v>0</v>
      </c>
      <c r="R219">
        <f t="shared" si="190"/>
        <v>0</v>
      </c>
      <c r="S219">
        <f t="shared" si="191"/>
        <v>0</v>
      </c>
      <c r="T219">
        <f t="shared" si="192"/>
        <v>0</v>
      </c>
    </row>
    <row r="220" spans="1:29" x14ac:dyDescent="0.25">
      <c r="A220">
        <v>15</v>
      </c>
      <c r="B220">
        <v>0.47619047619047611</v>
      </c>
      <c r="C220">
        <v>0.40909090909090912</v>
      </c>
      <c r="D220">
        <v>0.47826086956521741</v>
      </c>
      <c r="E220">
        <v>0.34782608695652167</v>
      </c>
      <c r="F220">
        <v>0.47619047619047611</v>
      </c>
      <c r="G220">
        <v>0.39130434782608697</v>
      </c>
      <c r="H220">
        <v>0.47619047619047611</v>
      </c>
      <c r="I220">
        <v>0.47619047619047611</v>
      </c>
      <c r="J220">
        <v>0.40909090909090912</v>
      </c>
      <c r="M220">
        <f t="shared" si="185"/>
        <v>6.7099567099566992E-2</v>
      </c>
      <c r="N220">
        <f t="shared" si="186"/>
        <v>-2.0703933747412973E-3</v>
      </c>
      <c r="O220">
        <f t="shared" si="187"/>
        <v>0.12836438923395443</v>
      </c>
      <c r="P220">
        <f t="shared" si="188"/>
        <v>0</v>
      </c>
      <c r="Q220">
        <f t="shared" si="189"/>
        <v>8.4886128364389135E-2</v>
      </c>
      <c r="R220">
        <f t="shared" si="190"/>
        <v>0</v>
      </c>
      <c r="S220">
        <f t="shared" si="191"/>
        <v>0</v>
      </c>
      <c r="T220">
        <f t="shared" si="192"/>
        <v>6.7099567099566992E-2</v>
      </c>
    </row>
    <row r="221" spans="1:29" x14ac:dyDescent="0.25">
      <c r="A221">
        <v>20</v>
      </c>
      <c r="B221">
        <v>0.4137931034482758</v>
      </c>
      <c r="C221">
        <v>0.4137931034482758</v>
      </c>
      <c r="D221">
        <v>0.4375</v>
      </c>
      <c r="E221">
        <v>0.36666666666666659</v>
      </c>
      <c r="F221">
        <v>0.4137931034482758</v>
      </c>
      <c r="G221">
        <v>0.4</v>
      </c>
      <c r="H221">
        <v>0.4642857142857143</v>
      </c>
      <c r="I221">
        <v>0.4137931034482758</v>
      </c>
      <c r="J221">
        <v>0.4137931034482758</v>
      </c>
      <c r="M221">
        <f t="shared" si="185"/>
        <v>0</v>
      </c>
      <c r="N221">
        <f t="shared" si="186"/>
        <v>-2.3706896551724199E-2</v>
      </c>
      <c r="O221">
        <f t="shared" si="187"/>
        <v>4.7126436781609216E-2</v>
      </c>
      <c r="P221">
        <f t="shared" si="188"/>
        <v>0</v>
      </c>
      <c r="Q221">
        <f t="shared" si="189"/>
        <v>1.3793103448275779E-2</v>
      </c>
      <c r="R221">
        <f t="shared" si="190"/>
        <v>-5.0492610837438501E-2</v>
      </c>
      <c r="S221">
        <f t="shared" si="191"/>
        <v>0</v>
      </c>
      <c r="T221">
        <f t="shared" si="192"/>
        <v>0</v>
      </c>
    </row>
    <row r="222" spans="1:29" x14ac:dyDescent="0.25">
      <c r="A222">
        <v>25</v>
      </c>
      <c r="B222">
        <v>0.59375</v>
      </c>
      <c r="C222">
        <v>0.5</v>
      </c>
      <c r="D222">
        <v>0.66666666666666663</v>
      </c>
      <c r="E222">
        <v>0.59375</v>
      </c>
      <c r="F222">
        <v>0.54545454545454541</v>
      </c>
      <c r="G222">
        <v>0.51428571428571423</v>
      </c>
      <c r="H222">
        <v>0.54545454545454541</v>
      </c>
      <c r="I222">
        <v>0.54545454545454541</v>
      </c>
      <c r="J222">
        <v>0.5</v>
      </c>
      <c r="M222">
        <f t="shared" si="185"/>
        <v>9.375E-2</v>
      </c>
      <c r="N222">
        <f t="shared" si="186"/>
        <v>-7.291666666666663E-2</v>
      </c>
      <c r="O222">
        <f t="shared" si="187"/>
        <v>0</v>
      </c>
      <c r="P222">
        <f t="shared" si="188"/>
        <v>4.8295454545454586E-2</v>
      </c>
      <c r="Q222">
        <f t="shared" si="189"/>
        <v>7.9464285714285765E-2</v>
      </c>
      <c r="R222">
        <f t="shared" si="190"/>
        <v>4.8295454545454586E-2</v>
      </c>
      <c r="S222">
        <f t="shared" si="191"/>
        <v>4.8295454545454586E-2</v>
      </c>
      <c r="T222">
        <f t="shared" si="192"/>
        <v>9.375E-2</v>
      </c>
    </row>
    <row r="223" spans="1:29" x14ac:dyDescent="0.25">
      <c r="A223">
        <v>30</v>
      </c>
      <c r="B223">
        <v>0.74285714285714288</v>
      </c>
      <c r="C223">
        <v>0.60526315789473684</v>
      </c>
      <c r="D223">
        <v>0.65909090909090906</v>
      </c>
      <c r="E223">
        <v>0.5641025641025641</v>
      </c>
      <c r="F223">
        <v>0.64864864864864868</v>
      </c>
      <c r="G223">
        <v>0.65789473684210531</v>
      </c>
      <c r="H223">
        <v>0.69444444444444442</v>
      </c>
      <c r="I223">
        <v>0.69444444444444442</v>
      </c>
      <c r="J223">
        <v>0.60526315789473684</v>
      </c>
      <c r="M223">
        <f t="shared" si="185"/>
        <v>0.13759398496240605</v>
      </c>
      <c r="N223">
        <f t="shared" si="186"/>
        <v>8.3766233766233822E-2</v>
      </c>
      <c r="O223">
        <f t="shared" si="187"/>
        <v>0.17875457875457879</v>
      </c>
      <c r="P223">
        <f t="shared" si="188"/>
        <v>9.4208494208494198E-2</v>
      </c>
      <c r="Q223">
        <f t="shared" si="189"/>
        <v>8.4962406015037573E-2</v>
      </c>
      <c r="R223">
        <f t="shared" si="190"/>
        <v>4.8412698412698463E-2</v>
      </c>
      <c r="S223">
        <f t="shared" si="191"/>
        <v>4.8412698412698463E-2</v>
      </c>
      <c r="T223">
        <f t="shared" si="192"/>
        <v>0.13759398496240605</v>
      </c>
    </row>
    <row r="224" spans="1:29" x14ac:dyDescent="0.25">
      <c r="A224">
        <v>35</v>
      </c>
      <c r="B224">
        <v>0.73170731707317072</v>
      </c>
      <c r="C224">
        <v>0.65116279069767447</v>
      </c>
      <c r="D224">
        <v>0.62264150943396224</v>
      </c>
      <c r="E224">
        <v>0.61363636363636365</v>
      </c>
      <c r="F224">
        <v>0.73170731707317072</v>
      </c>
      <c r="G224">
        <v>0.72093023255813948</v>
      </c>
      <c r="H224">
        <v>0.73170731707317072</v>
      </c>
      <c r="I224">
        <v>0.73170731707317072</v>
      </c>
      <c r="J224">
        <v>0.65116279069767447</v>
      </c>
      <c r="M224">
        <f t="shared" si="185"/>
        <v>8.054452637549625E-2</v>
      </c>
      <c r="N224">
        <f t="shared" si="186"/>
        <v>0.10906580763920848</v>
      </c>
      <c r="O224">
        <f t="shared" si="187"/>
        <v>0.11807095343680707</v>
      </c>
      <c r="P224">
        <f t="shared" si="188"/>
        <v>0</v>
      </c>
      <c r="Q224">
        <f t="shared" si="189"/>
        <v>1.0777084515031232E-2</v>
      </c>
      <c r="R224">
        <f t="shared" si="190"/>
        <v>0</v>
      </c>
      <c r="S224">
        <f t="shared" si="191"/>
        <v>0</v>
      </c>
      <c r="T224">
        <f t="shared" si="192"/>
        <v>8.054452637549625E-2</v>
      </c>
    </row>
    <row r="225" spans="1:30" x14ac:dyDescent="0.25">
      <c r="A225">
        <v>40</v>
      </c>
      <c r="B225">
        <v>0.76086956521739135</v>
      </c>
      <c r="C225">
        <v>0.65306122448979587</v>
      </c>
      <c r="D225">
        <v>0.59677419354838712</v>
      </c>
      <c r="E225">
        <v>0.55769230769230771</v>
      </c>
      <c r="F225">
        <v>0.8</v>
      </c>
      <c r="G225">
        <v>0.67307692307692313</v>
      </c>
      <c r="H225">
        <v>0.6875</v>
      </c>
      <c r="I225">
        <v>0.72340425531914898</v>
      </c>
      <c r="J225">
        <v>0.62</v>
      </c>
      <c r="M225">
        <f t="shared" si="185"/>
        <v>0.10780834072759549</v>
      </c>
      <c r="N225">
        <f t="shared" si="186"/>
        <v>0.16409537166900423</v>
      </c>
      <c r="O225">
        <f t="shared" si="187"/>
        <v>0.20317725752508364</v>
      </c>
      <c r="P225">
        <f t="shared" si="188"/>
        <v>-3.9130434782608692E-2</v>
      </c>
      <c r="Q225">
        <f t="shared" si="189"/>
        <v>8.7792642140468224E-2</v>
      </c>
      <c r="R225">
        <f t="shared" si="190"/>
        <v>7.3369565217391353E-2</v>
      </c>
      <c r="S225">
        <f t="shared" si="191"/>
        <v>3.7465309898242372E-2</v>
      </c>
      <c r="T225">
        <f t="shared" si="192"/>
        <v>0.14086956521739136</v>
      </c>
    </row>
    <row r="226" spans="1:30" s="10" customFormat="1" x14ac:dyDescent="0.25">
      <c r="A226" s="10" t="s">
        <v>16</v>
      </c>
      <c r="B226" s="10">
        <f>AVERAGE(B219:B225)</f>
        <v>0.57595251496949385</v>
      </c>
      <c r="C226" s="10">
        <f t="shared" ref="C226:J226" si="214">AVERAGE(C219:C225)</f>
        <v>0.50641016937448458</v>
      </c>
      <c r="D226" s="10">
        <f t="shared" si="214"/>
        <v>0.52803260942174302</v>
      </c>
      <c r="E226" s="10">
        <f t="shared" si="214"/>
        <v>0.47945342700777488</v>
      </c>
      <c r="F226" s="10">
        <f t="shared" si="214"/>
        <v>0.57368487011644531</v>
      </c>
      <c r="G226" s="10">
        <f t="shared" si="214"/>
        <v>0.52428456494128128</v>
      </c>
      <c r="H226" s="10">
        <f t="shared" si="214"/>
        <v>0.55886892820690726</v>
      </c>
      <c r="I226" s="10">
        <f t="shared" si="214"/>
        <v>0.55678487741858018</v>
      </c>
      <c r="J226" s="10">
        <f t="shared" si="214"/>
        <v>0.50168713730451375</v>
      </c>
      <c r="M226" s="10">
        <f t="shared" si="185"/>
        <v>6.9542345595009269E-2</v>
      </c>
      <c r="N226" s="10">
        <f t="shared" si="186"/>
        <v>4.791990554775083E-2</v>
      </c>
      <c r="O226" s="10">
        <f t="shared" si="187"/>
        <v>9.6499087961718966E-2</v>
      </c>
      <c r="P226" s="10">
        <f t="shared" si="188"/>
        <v>2.2676448530485338E-3</v>
      </c>
      <c r="Q226" s="10">
        <f t="shared" si="189"/>
        <v>5.1667950028212561E-2</v>
      </c>
      <c r="R226" s="10">
        <f t="shared" si="190"/>
        <v>1.7083586762586589E-2</v>
      </c>
      <c r="S226" s="10">
        <f t="shared" si="191"/>
        <v>1.9167637550913663E-2</v>
      </c>
      <c r="T226" s="10">
        <f t="shared" si="192"/>
        <v>7.4265377664980092E-2</v>
      </c>
      <c r="V226" s="10">
        <f>M226/C226</f>
        <v>0.13732414908039395</v>
      </c>
      <c r="W226" s="10">
        <f t="shared" ref="W226" si="215">N226/D226</f>
        <v>9.0751792015702756E-2</v>
      </c>
      <c r="X226" s="10">
        <f t="shared" ref="X226" si="216">O226/E226</f>
        <v>0.20126895027940664</v>
      </c>
      <c r="Y226" s="10">
        <f t="shared" ref="Y226" si="217">P226/F226</f>
        <v>3.9527708872438144E-3</v>
      </c>
      <c r="Z226" s="10">
        <f t="shared" ref="Z226" si="218">Q226/G226</f>
        <v>9.8549439528129654E-2</v>
      </c>
      <c r="AA226" s="10">
        <f t="shared" ref="AA226" si="219">R226/H226</f>
        <v>3.056814558898114E-2</v>
      </c>
      <c r="AB226" s="10">
        <f>S226/I226</f>
        <v>3.4425571398024518E-2</v>
      </c>
      <c r="AC226" s="10">
        <f t="shared" ref="AC226" si="220">T226/J226</f>
        <v>0.14803125721738913</v>
      </c>
    </row>
    <row r="227" spans="1:30" x14ac:dyDescent="0.25">
      <c r="A227">
        <v>10</v>
      </c>
      <c r="B227">
        <v>0.53846153846153844</v>
      </c>
      <c r="C227">
        <v>0.33333333333333331</v>
      </c>
      <c r="D227">
        <v>0.375</v>
      </c>
      <c r="E227">
        <v>0.25</v>
      </c>
      <c r="F227">
        <v>0.33333333333333331</v>
      </c>
      <c r="G227">
        <v>0.42857142857142849</v>
      </c>
      <c r="H227">
        <v>0.81818181818181823</v>
      </c>
      <c r="I227">
        <v>0.53846153846153844</v>
      </c>
      <c r="J227">
        <v>0.33333333333333331</v>
      </c>
      <c r="M227">
        <f t="shared" si="185"/>
        <v>0.20512820512820512</v>
      </c>
      <c r="N227">
        <f t="shared" si="186"/>
        <v>0.16346153846153844</v>
      </c>
      <c r="O227">
        <f t="shared" si="187"/>
        <v>0.28846153846153844</v>
      </c>
      <c r="P227">
        <f t="shared" si="188"/>
        <v>0.20512820512820512</v>
      </c>
      <c r="Q227">
        <f t="shared" si="189"/>
        <v>0.10989010989010994</v>
      </c>
      <c r="R227">
        <f t="shared" si="190"/>
        <v>-0.2797202797202798</v>
      </c>
      <c r="S227">
        <f t="shared" si="191"/>
        <v>0</v>
      </c>
      <c r="T227">
        <f t="shared" si="192"/>
        <v>0.20512820512820512</v>
      </c>
    </row>
    <row r="228" spans="1:30" x14ac:dyDescent="0.25">
      <c r="A228">
        <v>15</v>
      </c>
      <c r="B228">
        <v>0.5</v>
      </c>
      <c r="C228">
        <v>0.30434782608695649</v>
      </c>
      <c r="D228">
        <v>0.375</v>
      </c>
      <c r="E228">
        <v>0.25</v>
      </c>
      <c r="F228">
        <v>0.30434782608695649</v>
      </c>
      <c r="G228">
        <v>0.42857142857142849</v>
      </c>
      <c r="H228">
        <v>0.5</v>
      </c>
      <c r="I228">
        <v>0.42857142857142849</v>
      </c>
      <c r="J228">
        <v>0.25</v>
      </c>
      <c r="M228">
        <f t="shared" si="185"/>
        <v>0.19565217391304351</v>
      </c>
      <c r="N228">
        <f t="shared" si="186"/>
        <v>0.125</v>
      </c>
      <c r="O228">
        <f t="shared" si="187"/>
        <v>0.25</v>
      </c>
      <c r="P228">
        <f t="shared" si="188"/>
        <v>0.19565217391304351</v>
      </c>
      <c r="Q228">
        <f t="shared" si="189"/>
        <v>7.1428571428571508E-2</v>
      </c>
      <c r="R228">
        <f t="shared" si="190"/>
        <v>0</v>
      </c>
      <c r="S228">
        <f t="shared" si="191"/>
        <v>7.1428571428571508E-2</v>
      </c>
      <c r="T228">
        <f t="shared" si="192"/>
        <v>0.25</v>
      </c>
    </row>
    <row r="229" spans="1:30" x14ac:dyDescent="0.25">
      <c r="A229">
        <v>20</v>
      </c>
      <c r="B229">
        <v>0.64</v>
      </c>
      <c r="C229">
        <v>0.32258064516129031</v>
      </c>
      <c r="D229">
        <v>0.44444444444444442</v>
      </c>
      <c r="E229">
        <v>0.20588235294117641</v>
      </c>
      <c r="F229">
        <v>0.36666666666666659</v>
      </c>
      <c r="G229">
        <v>0.36666666666666659</v>
      </c>
      <c r="H229">
        <v>0.70833333333333337</v>
      </c>
      <c r="I229">
        <v>0.57692307692307687</v>
      </c>
      <c r="J229">
        <v>0.28125</v>
      </c>
      <c r="M229">
        <f t="shared" si="185"/>
        <v>0.3174193548387097</v>
      </c>
      <c r="N229">
        <f t="shared" si="186"/>
        <v>0.19555555555555559</v>
      </c>
      <c r="O229">
        <f t="shared" si="187"/>
        <v>0.43411764705882361</v>
      </c>
      <c r="P229">
        <f t="shared" si="188"/>
        <v>0.27333333333333343</v>
      </c>
      <c r="Q229">
        <f t="shared" si="189"/>
        <v>0.27333333333333343</v>
      </c>
      <c r="R229">
        <f t="shared" si="190"/>
        <v>-6.8333333333333357E-2</v>
      </c>
      <c r="S229">
        <f t="shared" si="191"/>
        <v>6.3076923076923141E-2</v>
      </c>
      <c r="T229">
        <f t="shared" si="192"/>
        <v>0.35875000000000001</v>
      </c>
    </row>
    <row r="230" spans="1:30" x14ac:dyDescent="0.25">
      <c r="A230">
        <v>25</v>
      </c>
      <c r="B230">
        <v>0.75862068965517238</v>
      </c>
      <c r="C230">
        <v>0.41666666666666669</v>
      </c>
      <c r="D230">
        <v>0.4</v>
      </c>
      <c r="E230">
        <v>0.24390243902439021</v>
      </c>
      <c r="F230">
        <v>0.41666666666666669</v>
      </c>
      <c r="G230">
        <v>0.36842105263157893</v>
      </c>
      <c r="H230">
        <v>0.64516129032258063</v>
      </c>
      <c r="I230">
        <v>0.59375</v>
      </c>
      <c r="J230">
        <v>0.34210526315789469</v>
      </c>
      <c r="M230">
        <f t="shared" si="185"/>
        <v>0.34195402298850569</v>
      </c>
      <c r="N230">
        <f t="shared" si="186"/>
        <v>0.35862068965517235</v>
      </c>
      <c r="O230">
        <f t="shared" si="187"/>
        <v>0.51471825063078214</v>
      </c>
      <c r="P230">
        <f t="shared" si="188"/>
        <v>0.34195402298850569</v>
      </c>
      <c r="Q230">
        <f t="shared" si="189"/>
        <v>0.39019963702359345</v>
      </c>
      <c r="R230">
        <f t="shared" si="190"/>
        <v>0.11345939933259175</v>
      </c>
      <c r="S230">
        <f t="shared" si="191"/>
        <v>0.16487068965517238</v>
      </c>
      <c r="T230">
        <f t="shared" si="192"/>
        <v>0.41651542649727769</v>
      </c>
    </row>
    <row r="231" spans="1:30" x14ac:dyDescent="0.25">
      <c r="A231">
        <v>30</v>
      </c>
      <c r="B231">
        <v>0.72222222222222221</v>
      </c>
      <c r="C231">
        <v>0.44186046511627908</v>
      </c>
      <c r="D231">
        <v>0.2752293577981651</v>
      </c>
      <c r="E231">
        <v>0.26530612244897961</v>
      </c>
      <c r="F231">
        <v>0.34782608695652167</v>
      </c>
      <c r="G231">
        <v>0.3125</v>
      </c>
      <c r="H231">
        <v>0.72222222222222221</v>
      </c>
      <c r="I231">
        <v>0.67567567567567566</v>
      </c>
      <c r="J231">
        <v>0.31914893617021278</v>
      </c>
      <c r="M231">
        <f t="shared" si="185"/>
        <v>0.28036175710594313</v>
      </c>
      <c r="N231">
        <f t="shared" si="186"/>
        <v>0.44699286442405711</v>
      </c>
      <c r="O231">
        <f t="shared" si="187"/>
        <v>0.4569160997732426</v>
      </c>
      <c r="P231">
        <f t="shared" si="188"/>
        <v>0.37439613526570054</v>
      </c>
      <c r="Q231">
        <f t="shared" si="189"/>
        <v>0.40972222222222221</v>
      </c>
      <c r="R231">
        <f t="shared" si="190"/>
        <v>0</v>
      </c>
      <c r="S231">
        <f t="shared" si="191"/>
        <v>4.6546546546546552E-2</v>
      </c>
      <c r="T231">
        <f t="shared" si="192"/>
        <v>0.40307328605200943</v>
      </c>
    </row>
    <row r="232" spans="1:30" x14ac:dyDescent="0.25">
      <c r="A232">
        <v>35</v>
      </c>
      <c r="B232">
        <v>0.75609756097560976</v>
      </c>
      <c r="C232">
        <v>0.41176470588235292</v>
      </c>
      <c r="D232">
        <v>0.1761904761904762</v>
      </c>
      <c r="E232">
        <v>0.2203389830508474</v>
      </c>
      <c r="F232">
        <v>0.35849056603773582</v>
      </c>
      <c r="G232">
        <v>0.36363636363636359</v>
      </c>
      <c r="H232">
        <v>0.75609756097560976</v>
      </c>
      <c r="I232">
        <v>0.63636363636363635</v>
      </c>
      <c r="J232">
        <v>0.26315789473684209</v>
      </c>
      <c r="M232">
        <f t="shared" si="185"/>
        <v>0.34433285509325684</v>
      </c>
      <c r="N232">
        <f t="shared" si="186"/>
        <v>0.57990708478513353</v>
      </c>
      <c r="O232">
        <f t="shared" si="187"/>
        <v>0.53575857792476234</v>
      </c>
      <c r="P232">
        <f t="shared" si="188"/>
        <v>0.39760699493787394</v>
      </c>
      <c r="Q232">
        <f t="shared" si="189"/>
        <v>0.39246119733924617</v>
      </c>
      <c r="R232">
        <f t="shared" si="190"/>
        <v>0</v>
      </c>
      <c r="S232">
        <f t="shared" si="191"/>
        <v>0.11973392461197341</v>
      </c>
      <c r="T232">
        <f t="shared" si="192"/>
        <v>0.49293966623876767</v>
      </c>
    </row>
    <row r="233" spans="1:30" x14ac:dyDescent="0.25">
      <c r="A233">
        <v>40</v>
      </c>
      <c r="B233">
        <v>0.70833333333333337</v>
      </c>
      <c r="C233">
        <v>0.38983050847457629</v>
      </c>
      <c r="D233">
        <v>9.0128755364806801E-2</v>
      </c>
      <c r="E233">
        <v>0.1884057971014492</v>
      </c>
      <c r="F233">
        <v>0.32258064516129031</v>
      </c>
      <c r="G233">
        <v>0.37096774193548387</v>
      </c>
      <c r="H233">
        <v>0.70833333333333337</v>
      </c>
      <c r="I233">
        <v>0.57692307692307687</v>
      </c>
      <c r="J233">
        <v>0.2615384615384615</v>
      </c>
      <c r="M233">
        <f t="shared" si="185"/>
        <v>0.31850282485875708</v>
      </c>
      <c r="N233">
        <f t="shared" si="186"/>
        <v>0.61820457796852657</v>
      </c>
      <c r="O233">
        <f t="shared" si="187"/>
        <v>0.51992753623188415</v>
      </c>
      <c r="P233">
        <f t="shared" si="188"/>
        <v>0.38575268817204306</v>
      </c>
      <c r="Q233">
        <f t="shared" si="189"/>
        <v>0.3373655913978495</v>
      </c>
      <c r="R233">
        <f t="shared" si="190"/>
        <v>0</v>
      </c>
      <c r="S233">
        <f t="shared" si="191"/>
        <v>0.1314102564102565</v>
      </c>
      <c r="T233">
        <f t="shared" si="192"/>
        <v>0.44679487179487187</v>
      </c>
    </row>
    <row r="234" spans="1:30" s="10" customFormat="1" x14ac:dyDescent="0.25">
      <c r="B234" s="10">
        <f>AVERAGE(B227:B233)</f>
        <v>0.66053362066398225</v>
      </c>
      <c r="C234" s="10">
        <f t="shared" ref="C234:J234" si="221">AVERAGE(C227:C233)</f>
        <v>0.37434059296020783</v>
      </c>
      <c r="D234" s="10">
        <f t="shared" si="221"/>
        <v>0.30514186197112753</v>
      </c>
      <c r="E234" s="10">
        <f t="shared" si="221"/>
        <v>0.23197652779526326</v>
      </c>
      <c r="F234" s="10">
        <f t="shared" si="221"/>
        <v>0.34998739870131018</v>
      </c>
      <c r="G234" s="10">
        <f t="shared" si="221"/>
        <v>0.37704781171613572</v>
      </c>
      <c r="H234" s="10">
        <f t="shared" si="221"/>
        <v>0.69404707976698532</v>
      </c>
      <c r="I234" s="10">
        <f t="shared" si="221"/>
        <v>0.5752383475597761</v>
      </c>
      <c r="J234" s="10">
        <f t="shared" si="221"/>
        <v>0.2929334127052492</v>
      </c>
      <c r="M234" s="10">
        <f t="shared" si="185"/>
        <v>0.28619302770377442</v>
      </c>
      <c r="N234" s="10">
        <f t="shared" si="186"/>
        <v>0.35539175869285472</v>
      </c>
      <c r="O234" s="10">
        <f t="shared" si="187"/>
        <v>0.42855709286871901</v>
      </c>
      <c r="P234" s="10">
        <f t="shared" si="188"/>
        <v>0.31054622196267206</v>
      </c>
      <c r="Q234" s="10">
        <f t="shared" si="189"/>
        <v>0.28348580894784653</v>
      </c>
      <c r="R234" s="10">
        <f t="shared" si="190"/>
        <v>-3.3513459103003074E-2</v>
      </c>
      <c r="S234" s="10">
        <f t="shared" si="191"/>
        <v>8.5295273104206148E-2</v>
      </c>
      <c r="T234" s="10">
        <f t="shared" si="192"/>
        <v>0.36760020795873305</v>
      </c>
      <c r="V234" s="10">
        <f>M234/C234</f>
        <v>0.76452576366516722</v>
      </c>
      <c r="W234" s="10">
        <f t="shared" ref="W234" si="222">N234/D234</f>
        <v>1.1646771649000485</v>
      </c>
      <c r="X234" s="10">
        <f t="shared" ref="X234" si="223">O234/E234</f>
        <v>1.8474157577138706</v>
      </c>
      <c r="Y234" s="10">
        <f t="shared" ref="Y234" si="224">P234/F234</f>
        <v>0.88730686623292288</v>
      </c>
      <c r="Z234" s="10">
        <f t="shared" ref="Z234" si="225">Q234/G234</f>
        <v>0.75185639629509826</v>
      </c>
      <c r="AA234" s="10">
        <f t="shared" ref="AA234" si="226">R234/H234</f>
        <v>-4.8287011184103903E-2</v>
      </c>
      <c r="AB234" s="10">
        <f>S234/I234</f>
        <v>0.14827814151479646</v>
      </c>
      <c r="AC234" s="10">
        <f t="shared" ref="AC234" si="227">T234/J234</f>
        <v>1.2548934058560739</v>
      </c>
    </row>
    <row r="236" spans="1:30" x14ac:dyDescent="0.25">
      <c r="V236">
        <f t="shared" ref="V236:AC236" si="228">MAX(V226,V218,V210,V202,V194,V186,V178,V171,V163,V155,V146,V138,V130,V122,V114,V106,V98,V90,V82,V74,V66,V58,V50,V42,V34,V26,V10,V18)</f>
        <v>25.982601344102484</v>
      </c>
      <c r="W236">
        <f t="shared" si="228"/>
        <v>19.36713919684453</v>
      </c>
      <c r="X236">
        <f t="shared" si="228"/>
        <v>54.866440863599628</v>
      </c>
      <c r="Y236">
        <f t="shared" si="228"/>
        <v>192.45572704606411</v>
      </c>
      <c r="Z236">
        <f t="shared" si="228"/>
        <v>10.879422811541859</v>
      </c>
      <c r="AA236">
        <f t="shared" si="228"/>
        <v>5.9145825619918515</v>
      </c>
      <c r="AB236">
        <f t="shared" si="228"/>
        <v>3.8959189608437108</v>
      </c>
      <c r="AC236">
        <f t="shared" si="228"/>
        <v>43.304874021577689</v>
      </c>
    </row>
    <row r="238" spans="1:30" x14ac:dyDescent="0.25">
      <c r="V238">
        <f>V236*100</f>
        <v>2598.2601344102486</v>
      </c>
      <c r="W238">
        <f t="shared" ref="W238:AC238" si="229">W236*100</f>
        <v>1936.713919684453</v>
      </c>
      <c r="X238">
        <f t="shared" si="229"/>
        <v>5486.6440863599628</v>
      </c>
      <c r="Y238">
        <f t="shared" si="229"/>
        <v>19245.572704606413</v>
      </c>
      <c r="Z238">
        <f t="shared" si="229"/>
        <v>1087.942281154186</v>
      </c>
      <c r="AA238">
        <f t="shared" si="229"/>
        <v>591.45825619918514</v>
      </c>
      <c r="AB238">
        <f t="shared" si="229"/>
        <v>389.59189608437106</v>
      </c>
      <c r="AC238">
        <f t="shared" si="229"/>
        <v>4330.4874021577689</v>
      </c>
      <c r="AD238">
        <f>MAX(V238:AC238)</f>
        <v>19245.572704606413</v>
      </c>
    </row>
    <row r="242" spans="1:29" x14ac:dyDescent="0.25">
      <c r="V242" t="s">
        <v>17</v>
      </c>
    </row>
    <row r="243" spans="1:29" x14ac:dyDescent="0.25">
      <c r="V243">
        <f>AVERAGE(V234,V226,V218,V210,V202,V194,V186,V178,V171,V163,V155,V146,V138,V130,V122,V114,V106,V98,V90,V82,V74,V66,V58,V50,V42,V34,V26,V18,V10)</f>
        <v>1.9170548467658806</v>
      </c>
      <c r="W243">
        <f t="shared" ref="W243:AC243" si="230">AVERAGE(W234,W226,W218,W210,W202,W194,W186,W178,W171,W163,W155,W146,W138,W130,W122,W114,W106,W98,W90,W82,W74,W66,W58,W50,W42,W34,W26,W18,W10)</f>
        <v>3.795920432669055</v>
      </c>
      <c r="X243">
        <f t="shared" si="230"/>
        <v>3.7405859440786857</v>
      </c>
      <c r="Y243">
        <f t="shared" si="230"/>
        <v>7.904895380618588</v>
      </c>
      <c r="Z243">
        <f t="shared" si="230"/>
        <v>1.4475659524203761</v>
      </c>
      <c r="AA243">
        <f t="shared" si="230"/>
        <v>0.69794063169755327</v>
      </c>
      <c r="AB243">
        <f t="shared" si="230"/>
        <v>0.3317770110105786</v>
      </c>
      <c r="AC243">
        <f t="shared" si="230"/>
        <v>3.4891783379806909</v>
      </c>
    </row>
    <row r="244" spans="1:29" x14ac:dyDescent="0.25">
      <c r="A244" t="s">
        <v>86</v>
      </c>
      <c r="B244">
        <f>MIN(B91:B97,B75:B81,B3:B9)</f>
        <v>0.42857142857142849</v>
      </c>
      <c r="C244">
        <f t="shared" ref="C244:J244" si="231">MIN(C91:C97,C75:C81,C3:C9)</f>
        <v>0.33333333333333331</v>
      </c>
      <c r="D244">
        <f t="shared" si="231"/>
        <v>0.1103752759381898</v>
      </c>
      <c r="E244">
        <f t="shared" si="231"/>
        <v>0.2</v>
      </c>
      <c r="F244">
        <f t="shared" si="231"/>
        <v>0.36363636363636359</v>
      </c>
      <c r="G244">
        <f t="shared" si="231"/>
        <v>0.4</v>
      </c>
      <c r="H244">
        <f t="shared" si="231"/>
        <v>0.42857142857142849</v>
      </c>
      <c r="I244">
        <f t="shared" si="231"/>
        <v>0.42857142857142849</v>
      </c>
      <c r="J244">
        <f t="shared" si="231"/>
        <v>0.25</v>
      </c>
      <c r="L244" t="s">
        <v>88</v>
      </c>
      <c r="V244">
        <f>V243*100</f>
        <v>191.70548467658804</v>
      </c>
      <c r="W244">
        <f t="shared" ref="W244:AC244" si="232">W243*100</f>
        <v>379.59204326690548</v>
      </c>
      <c r="X244">
        <f t="shared" si="232"/>
        <v>374.05859440786855</v>
      </c>
      <c r="Y244">
        <f t="shared" si="232"/>
        <v>790.48953806185875</v>
      </c>
      <c r="Z244">
        <f t="shared" si="232"/>
        <v>144.7565952420376</v>
      </c>
      <c r="AA244">
        <f t="shared" si="232"/>
        <v>69.794063169755333</v>
      </c>
      <c r="AB244">
        <f t="shared" si="232"/>
        <v>33.177701101057863</v>
      </c>
      <c r="AC244">
        <f t="shared" si="232"/>
        <v>348.91783379806907</v>
      </c>
    </row>
    <row r="245" spans="1:29" x14ac:dyDescent="0.25">
      <c r="A245" t="s">
        <v>87</v>
      </c>
      <c r="B245">
        <f>MAX(B91:B97,B75:B81,B3:B9)</f>
        <v>1</v>
      </c>
      <c r="C245">
        <f t="shared" ref="C245:J245" si="233">MAX(C91:C97,C75:C81,C3:C9)</f>
        <v>0.83333333333333337</v>
      </c>
      <c r="D245">
        <f t="shared" si="233"/>
        <v>0.78947368421052633</v>
      </c>
      <c r="E245">
        <f t="shared" si="233"/>
        <v>0.65</v>
      </c>
      <c r="F245">
        <f t="shared" si="233"/>
        <v>0.83333333333333337</v>
      </c>
      <c r="G245">
        <f t="shared" si="233"/>
        <v>0.76923076923076927</v>
      </c>
      <c r="H245">
        <f t="shared" si="233"/>
        <v>0.86046511627906974</v>
      </c>
      <c r="I245">
        <f t="shared" si="233"/>
        <v>0.86046511627906974</v>
      </c>
      <c r="J245">
        <f t="shared" si="233"/>
        <v>0.75</v>
      </c>
      <c r="M245">
        <f>AVERAGE(M227:M232,M219:M224,M211:M216,M203:M208,M195:M200,M187:M192,M179:M184,M172:M176,M164:M169,M156:M161,M147:M153,M139:M144,M131:M136,M123:M128,M115:M120,M107:M112,M99:M104,M91:M96,M83:M88,M75:M80,M67:M72,M59:M64,M51:M56,M43:M48,M35:M40,M27:M32,M19:M24,M11:M16,M3:M8)</f>
        <v>0.27424858754467135</v>
      </c>
      <c r="N245">
        <f t="shared" ref="N245:T245" si="234">AVERAGE(N227:N232,N219:N224,N211:N216,N203:N208,N195:N200,N187:N192,N179:N184,N172:N176,N164:N169,N156:N161,N147:N153,N139:N144,N131:N136,N123:N128,N115:N120,N107:N112,N99:N104,N91:N96,N83:N88,N75:N80,N67:N72,N59:N64,N51:N56,N43:N48,N35:N40,N27:N32,N19:N24,N11:N16,N3:N8)</f>
        <v>0.36514263221114684</v>
      </c>
      <c r="O245">
        <f t="shared" si="234"/>
        <v>0.34472225743600643</v>
      </c>
      <c r="P245">
        <f t="shared" si="234"/>
        <v>0.30451598517510003</v>
      </c>
      <c r="Q245">
        <f t="shared" si="234"/>
        <v>0.24751050143939385</v>
      </c>
      <c r="R245">
        <f t="shared" si="234"/>
        <v>0.1549235781119889</v>
      </c>
      <c r="S245">
        <f t="shared" si="234"/>
        <v>0.11753468614427655</v>
      </c>
      <c r="T245">
        <f t="shared" si="234"/>
        <v>0.29660278570738208</v>
      </c>
    </row>
    <row r="248" spans="1:29" x14ac:dyDescent="0.25">
      <c r="A248" t="s">
        <v>50</v>
      </c>
    </row>
    <row r="249" spans="1:29" x14ac:dyDescent="0.25">
      <c r="B249">
        <f>MIN(B227,B219,B211,B195,B179,B164,B147,B139,B131,B123,B115,B99,B67,B59,B51,B43,B35,B19,B11)</f>
        <v>0.1764705882352941</v>
      </c>
      <c r="C249">
        <f>MIN(C227,C219,C211,C195,C179,C164,C147,C139,C131,C123,C115,C99,C67,C59,C51,C43,C35,C19,C11)</f>
        <v>0</v>
      </c>
      <c r="D249">
        <f t="shared" ref="D249:J249" si="235">MIN(D227,D219,D211,D195,D179,D164,D147,D139,D131,D123,D115,D99,D67,D59,D51,D43,D35,D19,D11)</f>
        <v>9.6246390760345996E-3</v>
      </c>
      <c r="E249">
        <f t="shared" si="235"/>
        <v>0</v>
      </c>
      <c r="F249">
        <f t="shared" si="235"/>
        <v>0</v>
      </c>
      <c r="G249">
        <f t="shared" si="235"/>
        <v>0</v>
      </c>
      <c r="H249">
        <f t="shared" si="235"/>
        <v>5.2631578947368397E-2</v>
      </c>
      <c r="I249">
        <f t="shared" si="235"/>
        <v>0.1111111111111111</v>
      </c>
      <c r="J249">
        <f t="shared" si="235"/>
        <v>0</v>
      </c>
      <c r="L249" t="s">
        <v>85</v>
      </c>
      <c r="M249">
        <f>M245*100</f>
        <v>27.424858754467135</v>
      </c>
      <c r="N249">
        <f t="shared" ref="N249:T249" si="236">N245*100</f>
        <v>36.514263221114682</v>
      </c>
      <c r="O249">
        <f t="shared" si="236"/>
        <v>34.472225743600646</v>
      </c>
      <c r="P249">
        <f t="shared" si="236"/>
        <v>30.451598517510003</v>
      </c>
      <c r="Q249">
        <f t="shared" si="236"/>
        <v>24.751050143939384</v>
      </c>
      <c r="R249">
        <f t="shared" si="236"/>
        <v>15.49235781119889</v>
      </c>
      <c r="S249">
        <f t="shared" si="236"/>
        <v>11.753468614427655</v>
      </c>
      <c r="T249">
        <f t="shared" si="236"/>
        <v>29.660278570738207</v>
      </c>
    </row>
    <row r="250" spans="1:29" x14ac:dyDescent="0.25">
      <c r="B250">
        <f t="shared" ref="B250:C252" si="237">MIN(B228,B220,B212,B196,B180,B165,B148,B140,B132,B124,B116,B100,B68,B60,B52,B44,B36,B20,B12)</f>
        <v>0.34782608695652167</v>
      </c>
      <c r="C250">
        <f t="shared" si="237"/>
        <v>0</v>
      </c>
      <c r="D250">
        <f t="shared" ref="D250:J250" si="238">MIN(D228,D220,D212,D196,D180,D165,D148,D140,D132,D124,D116,D100,D68,D60,D52,D44,D36,D20,D12)</f>
        <v>1.3181019332161601E-2</v>
      </c>
      <c r="E250">
        <f t="shared" si="238"/>
        <v>0</v>
      </c>
      <c r="F250">
        <f t="shared" si="238"/>
        <v>0</v>
      </c>
      <c r="G250">
        <f t="shared" si="238"/>
        <v>0</v>
      </c>
      <c r="H250">
        <f t="shared" si="238"/>
        <v>7.1428571428571397E-2</v>
      </c>
      <c r="I250">
        <f t="shared" si="238"/>
        <v>0.2</v>
      </c>
      <c r="J250">
        <f t="shared" si="238"/>
        <v>0</v>
      </c>
    </row>
    <row r="251" spans="1:29" x14ac:dyDescent="0.25">
      <c r="B251">
        <f t="shared" si="237"/>
        <v>0.36666666666666659</v>
      </c>
      <c r="C251">
        <f t="shared" si="237"/>
        <v>2.5641025641025599E-2</v>
      </c>
      <c r="D251">
        <f t="shared" ref="D251:J251" si="239">MIN(D229,D221,D213,D197,D181,D166,D149,D141,D133,D125,D117,D101,D69,D61,D53,D45,D37,D21,D13)</f>
        <v>1.7574692442882199E-2</v>
      </c>
      <c r="E251">
        <f t="shared" si="239"/>
        <v>0</v>
      </c>
      <c r="F251">
        <f t="shared" si="239"/>
        <v>2.5641025641025599E-2</v>
      </c>
      <c r="G251">
        <f t="shared" si="239"/>
        <v>0</v>
      </c>
      <c r="H251">
        <f t="shared" si="239"/>
        <v>7.69230769230769E-2</v>
      </c>
      <c r="I251">
        <f t="shared" si="239"/>
        <v>0.29032258064516131</v>
      </c>
      <c r="J251">
        <f t="shared" si="239"/>
        <v>2.5641025641025599E-2</v>
      </c>
      <c r="P251" s="9">
        <v>0.37</v>
      </c>
    </row>
    <row r="252" spans="1:29" x14ac:dyDescent="0.25">
      <c r="B252">
        <f t="shared" si="237"/>
        <v>0.35897435897435898</v>
      </c>
      <c r="C252">
        <f t="shared" si="237"/>
        <v>2.04081632653061E-2</v>
      </c>
      <c r="D252">
        <f t="shared" ref="D252:J252" si="240">MIN(D230,D222,D214,D198,D182,D167,D150,D142,D134,D126,D118,D102,D70,D62,D54,D46,D38,D22,D14)</f>
        <v>2.1968365553602799E-2</v>
      </c>
      <c r="E252">
        <f t="shared" si="240"/>
        <v>0</v>
      </c>
      <c r="F252">
        <f t="shared" si="240"/>
        <v>0.1111111111111111</v>
      </c>
      <c r="G252">
        <f t="shared" si="240"/>
        <v>0</v>
      </c>
      <c r="H252">
        <f t="shared" si="240"/>
        <v>0.06</v>
      </c>
      <c r="I252">
        <f t="shared" si="240"/>
        <v>0.31578947368421051</v>
      </c>
      <c r="J252">
        <f t="shared" si="240"/>
        <v>2.04081632653061E-2</v>
      </c>
    </row>
    <row r="254" spans="1:29" x14ac:dyDescent="0.25">
      <c r="A254" t="s">
        <v>51</v>
      </c>
    </row>
    <row r="255" spans="1:29" x14ac:dyDescent="0.25">
      <c r="B255">
        <f>MAX(B227,B219,B211,B195,B179,B164,B147,B139,B131,B123,B115,B99,B67,B59,B51,B43,B35,B19,B11)</f>
        <v>1</v>
      </c>
      <c r="C255">
        <f t="shared" ref="C255:J255" si="241">MAX(C227,C219,C211,C195,C179,C164,C147,C139,C131,C123,C115,C99,C67,C59,C51,C43,C35,C19,C11)</f>
        <v>0.66666666666666663</v>
      </c>
      <c r="D255">
        <f t="shared" si="241"/>
        <v>0.5714285714285714</v>
      </c>
      <c r="E255">
        <f t="shared" si="241"/>
        <v>0.5714285714285714</v>
      </c>
      <c r="F255">
        <f t="shared" si="241"/>
        <v>0.66666666666666663</v>
      </c>
      <c r="G255">
        <f t="shared" si="241"/>
        <v>0.7142857142857143</v>
      </c>
      <c r="H255">
        <f t="shared" si="241"/>
        <v>0.83333333333333337</v>
      </c>
      <c r="I255">
        <f t="shared" si="241"/>
        <v>0.83333333333333337</v>
      </c>
      <c r="J255">
        <f t="shared" si="241"/>
        <v>0.66666666666666663</v>
      </c>
    </row>
    <row r="256" spans="1:29" x14ac:dyDescent="0.25">
      <c r="B256">
        <f t="shared" ref="B256:J256" si="242">MAX(B228,B220,B212,B196,B180,B165,B148,B140,B132,B124,B116,B100,B68,B60,B52,B44,B36,B20,B12)</f>
        <v>1</v>
      </c>
      <c r="C256">
        <f t="shared" si="242"/>
        <v>0.68421052631578949</v>
      </c>
      <c r="D256">
        <f t="shared" si="242"/>
        <v>0.5625</v>
      </c>
      <c r="E256">
        <f t="shared" si="242"/>
        <v>0.65217391304347805</v>
      </c>
      <c r="F256">
        <f t="shared" si="242"/>
        <v>0.61904761904761907</v>
      </c>
      <c r="G256">
        <f t="shared" si="242"/>
        <v>0.72222222222222221</v>
      </c>
      <c r="H256">
        <f t="shared" si="242"/>
        <v>0.875</v>
      </c>
      <c r="I256">
        <f t="shared" si="242"/>
        <v>0.78947368421052633</v>
      </c>
      <c r="J256">
        <f t="shared" si="242"/>
        <v>0.52173913043478259</v>
      </c>
    </row>
    <row r="257" spans="1:10" x14ac:dyDescent="0.25">
      <c r="B257">
        <f t="shared" ref="B257:J257" si="243">MAX(B229,B221,B213,B197,B181,B166,B149,B141,B133,B125,B117,B101,B69,B61,B53,B45,B37,B21,B13)</f>
        <v>1</v>
      </c>
      <c r="C257">
        <f t="shared" si="243"/>
        <v>0.6428571428571429</v>
      </c>
      <c r="D257">
        <f t="shared" si="243"/>
        <v>0.71875</v>
      </c>
      <c r="E257">
        <f t="shared" si="243"/>
        <v>0.78571428571428503</v>
      </c>
      <c r="F257">
        <f t="shared" si="243"/>
        <v>0.62962962962962965</v>
      </c>
      <c r="G257">
        <f t="shared" si="243"/>
        <v>0.71428571428571397</v>
      </c>
      <c r="H257">
        <f t="shared" si="243"/>
        <v>0.76923076923076927</v>
      </c>
      <c r="I257">
        <f t="shared" si="243"/>
        <v>0.8</v>
      </c>
      <c r="J257">
        <f t="shared" si="243"/>
        <v>0.7142857142857143</v>
      </c>
    </row>
    <row r="258" spans="1:10" x14ac:dyDescent="0.25">
      <c r="B258">
        <f t="shared" ref="B258:J258" si="244">MAX(B230,B222,B214,B198,B182,B167,B150,B142,B134,B126,B118,B102,B70,B62,B54,B46,B38,B22,B14)</f>
        <v>1</v>
      </c>
      <c r="C258">
        <f>MAX(C230,C222,C214,C198,C182,C167,C150,C142,C134,C126,C118,C102,C70,C62,C54,C46,C38,C22,C14)</f>
        <v>0.875</v>
      </c>
      <c r="D258">
        <f t="shared" si="244"/>
        <v>0.875</v>
      </c>
      <c r="E258">
        <f t="shared" si="244"/>
        <v>0.875</v>
      </c>
      <c r="F258">
        <f t="shared" si="244"/>
        <v>0.875</v>
      </c>
      <c r="G258">
        <f t="shared" si="244"/>
        <v>0.875</v>
      </c>
      <c r="H258">
        <f t="shared" si="244"/>
        <v>0.875</v>
      </c>
      <c r="I258">
        <f t="shared" si="244"/>
        <v>0.875</v>
      </c>
      <c r="J258">
        <f t="shared" si="244"/>
        <v>0.875</v>
      </c>
    </row>
    <row r="259" spans="1:10" x14ac:dyDescent="0.25">
      <c r="A259" t="s">
        <v>17</v>
      </c>
    </row>
    <row r="260" spans="1:10" x14ac:dyDescent="0.25">
      <c r="B260">
        <f>AVERAGE(B59,B51,B43,B35,B19,B11,B67,B99,B115,B123,B131,B139,B147,B164,B179,B195,B211,B219,B227)</f>
        <v>0.56667680874337223</v>
      </c>
      <c r="C260">
        <f t="shared" ref="C260:I260" si="245">AVERAGE(C59,C51,C43,C35,C19,C11,C67,C99,C115,C123,C131,C139,C147,C164,C179,C195,C211,C219,C227)</f>
        <v>0.29238019982479818</v>
      </c>
      <c r="D260">
        <f>AVERAGE(D59,D51,D43,D35,D19,D11,D67,D99,D115,D123,D131,D139,D147,D164,D179,D195,D211,D219,D227)</f>
        <v>0.21295402951923945</v>
      </c>
      <c r="E260">
        <f t="shared" si="245"/>
        <v>0.23891297516236412</v>
      </c>
      <c r="F260">
        <f t="shared" si="245"/>
        <v>0.28402001222393919</v>
      </c>
      <c r="G260">
        <f>AVERAGE(G59,G51,G43,G35,G19,G11,G67,G99,G115,G123,G131,G139,G147,G164,G179,G195,G211,G219,G227)</f>
        <v>0.31923828235747742</v>
      </c>
      <c r="H260">
        <f t="shared" si="245"/>
        <v>0.46267923886263462</v>
      </c>
      <c r="I260">
        <f t="shared" si="245"/>
        <v>0.48109426263451027</v>
      </c>
      <c r="J260">
        <f>AVERAGE(J59,J51,J43,J35,J19,J11,J67,J99,J115,J123,J131,J139,J147,J164,J179,J195,J211,J219,J227)</f>
        <v>0.27535233604770842</v>
      </c>
    </row>
    <row r="261" spans="1:10" x14ac:dyDescent="0.25">
      <c r="B261">
        <f t="shared" ref="B261:J263" si="246">AVERAGE(B60,B52,B44,B36,B20,B12,B68,B100,B116,B124,B132,B140,B148,B165,B180,B196,B212,B220,B228)</f>
        <v>0.62480449845842234</v>
      </c>
      <c r="C261">
        <f t="shared" si="246"/>
        <v>0.33782077584919928</v>
      </c>
      <c r="D261">
        <f t="shared" si="246"/>
        <v>0.25527002361068901</v>
      </c>
      <c r="E261">
        <f t="shared" si="246"/>
        <v>0.26611810257712259</v>
      </c>
      <c r="F261">
        <f t="shared" si="246"/>
        <v>0.2938481156101293</v>
      </c>
      <c r="G261">
        <f t="shared" si="246"/>
        <v>0.38186214878434549</v>
      </c>
      <c r="H261">
        <f t="shared" si="246"/>
        <v>0.46680361374668927</v>
      </c>
      <c r="I261">
        <f t="shared" si="246"/>
        <v>0.52714826352951472</v>
      </c>
      <c r="J261">
        <f t="shared" si="246"/>
        <v>0.31770169825089734</v>
      </c>
    </row>
    <row r="262" spans="1:10" x14ac:dyDescent="0.25">
      <c r="B262">
        <f t="shared" si="246"/>
        <v>0.63899237238383444</v>
      </c>
      <c r="C262">
        <f t="shared" si="246"/>
        <v>0.35880785961146999</v>
      </c>
      <c r="D262">
        <f t="shared" si="246"/>
        <v>0.28856410215040773</v>
      </c>
      <c r="E262">
        <f t="shared" si="246"/>
        <v>0.28812476608692694</v>
      </c>
      <c r="F262">
        <f t="shared" si="246"/>
        <v>0.327353641964992</v>
      </c>
      <c r="G262">
        <f t="shared" si="246"/>
        <v>0.40677904457396286</v>
      </c>
      <c r="H262">
        <f t="shared" si="246"/>
        <v>0.48916650430278286</v>
      </c>
      <c r="I262">
        <f t="shared" si="246"/>
        <v>0.54228528533795251</v>
      </c>
      <c r="J262">
        <f t="shared" si="246"/>
        <v>0.3411639332519989</v>
      </c>
    </row>
    <row r="263" spans="1:10" x14ac:dyDescent="0.25">
      <c r="B263">
        <f t="shared" si="246"/>
        <v>0.671455188149649</v>
      </c>
      <c r="C263">
        <f t="shared" si="246"/>
        <v>0.39618351648628647</v>
      </c>
      <c r="D263">
        <f t="shared" si="246"/>
        <v>0.3134405747952988</v>
      </c>
      <c r="E263">
        <f>AVERAGE(E62,E54,E46,E38,E22,E14,E70,E102,E118,E126,E134,E142,E150,E167,E182,E198,E214,E222,E230)</f>
        <v>0.34165440975868</v>
      </c>
      <c r="F263">
        <f t="shared" si="246"/>
        <v>0.38543233749928935</v>
      </c>
      <c r="G263">
        <f t="shared" si="246"/>
        <v>0.45048166725381655</v>
      </c>
      <c r="H263">
        <f t="shared" si="246"/>
        <v>0.52214258637918609</v>
      </c>
      <c r="I263">
        <f t="shared" si="246"/>
        <v>0.56169079442520775</v>
      </c>
      <c r="J263">
        <f t="shared" si="246"/>
        <v>0.3869323311058453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kendall</vt:lpstr>
      <vt:lpstr>Distinct</vt:lpstr>
      <vt:lpstr>jaccard_diff_perc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Javaria</dc:creator>
  <cp:lastModifiedBy>Javaria</cp:lastModifiedBy>
  <dcterms:created xsi:type="dcterms:W3CDTF">2025-12-02T21:54:04Z</dcterms:created>
  <dcterms:modified xsi:type="dcterms:W3CDTF">2026-05-19T16:34:26Z</dcterms:modified>
</cp:coreProperties>
</file>